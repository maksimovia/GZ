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Employee3\Documents\GitHub\GZ\"/>
    </mc:Choice>
  </mc:AlternateContent>
  <xr:revisionPtr revIDLastSave="0" documentId="13_ncr:1_{F6A9B934-41D8-4F13-9F67-DF3D2A14C79D}" xr6:coauthVersionLast="47" xr6:coauthVersionMax="47" xr10:uidLastSave="{00000000-0000-0000-0000-000000000000}"/>
  <bookViews>
    <workbookView xWindow="-14510" yWindow="-110" windowWidth="14620" windowHeight="25220" activeTab="1" xr2:uid="{00000000-000D-0000-FFFF-FFFF00000000}"/>
  </bookViews>
  <sheets>
    <sheet name="Модель ГТУ" sheetId="8" r:id="rId1"/>
    <sheet name="КУ+ПТ номинальный режим" sheetId="14" r:id="rId2"/>
    <sheet name="Теплофикационные режимы" sheetId="12" r:id="rId3"/>
    <sheet name="Лист1" sheetId="15" r:id="rId4"/>
    <sheet name="Конденсационные режимы" sheetId="13" r:id="rId5"/>
    <sheet name="Граф. исх. данных" sheetId="3" r:id="rId6"/>
    <sheet name="Таблицы для расчётов" sheetId="5" r:id="rId7"/>
  </sheets>
  <functionGroups builtInGroupCount="19"/>
  <externalReferences>
    <externalReference r:id="rId8"/>
    <externalReference r:id="rId9"/>
  </externalReferences>
  <definedNames>
    <definedName name="D0">#REF!</definedName>
    <definedName name="Dк">#REF!</definedName>
    <definedName name="h_1">#REF!</definedName>
    <definedName name="h_парк">#REF!</definedName>
    <definedName name="h0">#REF!</definedName>
  </definedNames>
  <calcPr calcId="181029" iterateCount="2000" iterateDelta="0.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82" i="13" l="1"/>
  <c r="J285" i="13"/>
  <c r="I17" i="15" l="1"/>
  <c r="J17" i="15"/>
  <c r="K17" i="15"/>
  <c r="I18" i="15"/>
  <c r="J18" i="15"/>
  <c r="K18" i="15"/>
  <c r="H13" i="15"/>
  <c r="I13" i="15"/>
  <c r="J13" i="15"/>
  <c r="K13" i="15"/>
  <c r="H14" i="15"/>
  <c r="I14" i="15"/>
  <c r="J14" i="15"/>
  <c r="K14" i="15"/>
  <c r="H15" i="15"/>
  <c r="I15" i="15"/>
  <c r="J15" i="15"/>
  <c r="K15" i="15"/>
  <c r="B17" i="15"/>
  <c r="C17" i="15"/>
  <c r="D17" i="15"/>
  <c r="E17" i="15"/>
  <c r="E18" i="15" s="1"/>
  <c r="F17" i="15"/>
  <c r="G17" i="15"/>
  <c r="H17" i="15"/>
  <c r="H18" i="15" s="1"/>
  <c r="B18" i="15"/>
  <c r="C18" i="15"/>
  <c r="D18" i="15"/>
  <c r="F18" i="15"/>
  <c r="G18" i="15"/>
  <c r="A17" i="15"/>
  <c r="A18" i="15" s="1"/>
  <c r="B13" i="15"/>
  <c r="C13" i="15"/>
  <c r="D13" i="15"/>
  <c r="E13" i="15"/>
  <c r="F13" i="15"/>
  <c r="G13" i="15"/>
  <c r="B14" i="15"/>
  <c r="C14" i="15"/>
  <c r="D14" i="15"/>
  <c r="E14" i="15"/>
  <c r="F14" i="15"/>
  <c r="G14" i="15"/>
  <c r="B15" i="15"/>
  <c r="C15" i="15"/>
  <c r="D15" i="15"/>
  <c r="E15" i="15"/>
  <c r="F15" i="15"/>
  <c r="G15" i="15"/>
  <c r="A14" i="15"/>
  <c r="A15" i="15"/>
  <c r="A13" i="15"/>
  <c r="B6" i="15"/>
  <c r="C6" i="15"/>
  <c r="D6" i="15"/>
  <c r="E6" i="15"/>
  <c r="F6" i="15"/>
  <c r="A6" i="15"/>
  <c r="B5" i="15"/>
  <c r="C5" i="15"/>
  <c r="D5" i="15"/>
  <c r="E5" i="15"/>
  <c r="F5" i="15"/>
  <c r="A5" i="15"/>
  <c r="B1" i="15"/>
  <c r="C1" i="15"/>
  <c r="D1" i="15"/>
  <c r="E1" i="15"/>
  <c r="F1" i="15"/>
  <c r="B2" i="15"/>
  <c r="C2" i="15"/>
  <c r="D2" i="15"/>
  <c r="E2" i="15"/>
  <c r="F2" i="15"/>
  <c r="B3" i="15"/>
  <c r="C3" i="15"/>
  <c r="D3" i="15"/>
  <c r="E3" i="15"/>
  <c r="F3" i="15"/>
  <c r="A2" i="15"/>
  <c r="A3" i="15"/>
  <c r="A1" i="15"/>
  <c r="M274" i="13"/>
  <c r="L274" i="13"/>
  <c r="K274" i="13"/>
  <c r="J274" i="13"/>
  <c r="N153" i="13"/>
  <c r="N154" i="13" s="1"/>
  <c r="M158" i="13"/>
  <c r="L158" i="13"/>
  <c r="K158" i="13"/>
  <c r="J158" i="13"/>
  <c r="X40" i="13"/>
  <c r="Y40" i="13"/>
  <c r="Z40" i="13"/>
  <c r="AA40" i="13"/>
  <c r="Q40" i="13"/>
  <c r="R40" i="13"/>
  <c r="S40" i="13"/>
  <c r="T40" i="13"/>
  <c r="U40" i="13"/>
  <c r="V40" i="13"/>
  <c r="W40" i="13"/>
  <c r="P40" i="13"/>
  <c r="F51" i="14"/>
  <c r="C3" i="14"/>
  <c r="F3" i="14" s="1"/>
  <c r="R4" i="14"/>
  <c r="N7" i="14" s="1"/>
  <c r="V4" i="14"/>
  <c r="V7" i="14" s="1"/>
  <c r="C7" i="14"/>
  <c r="C13" i="14" s="1"/>
  <c r="B9" i="14"/>
  <c r="F13" i="14"/>
  <c r="V6" i="14"/>
  <c r="F12" i="14"/>
  <c r="M153" i="13" l="1"/>
  <c r="F6" i="14"/>
  <c r="F4" i="14"/>
  <c r="F7" i="14"/>
  <c r="C15" i="14"/>
  <c r="F15" i="14"/>
  <c r="C16" i="14"/>
  <c r="F16" i="14"/>
  <c r="F14" i="14"/>
  <c r="V8" i="14"/>
  <c r="F8" i="14" l="1"/>
  <c r="N41" i="14"/>
  <c r="N40" i="14"/>
  <c r="J4" i="14"/>
  <c r="X16" i="14"/>
  <c r="F5" i="14"/>
  <c r="F17" i="14"/>
  <c r="J5" i="14" l="1"/>
  <c r="X17" i="14"/>
  <c r="B18" i="14"/>
  <c r="X18" i="14"/>
  <c r="C21" i="14"/>
  <c r="F21" i="14"/>
  <c r="C22" i="14"/>
  <c r="C25" i="14" s="1"/>
  <c r="C31" i="14" s="1"/>
  <c r="C34" i="14" s="1"/>
  <c r="F22" i="14"/>
  <c r="F25" i="14" s="1"/>
  <c r="S21" i="14" s="1"/>
  <c r="Z22" i="14"/>
  <c r="F23" i="14"/>
  <c r="B27" i="14"/>
  <c r="B36" i="14" s="1"/>
  <c r="U34" i="14"/>
  <c r="K36" i="14"/>
  <c r="J3" i="14"/>
  <c r="X19" i="14"/>
  <c r="C40" i="14" l="1"/>
  <c r="F40" i="14"/>
  <c r="J2" i="14"/>
  <c r="X22" i="14"/>
  <c r="F39" i="14"/>
  <c r="F41" i="14"/>
  <c r="S16" i="14" l="1"/>
  <c r="F42" i="14"/>
  <c r="F48" i="14" s="1"/>
  <c r="X23" i="14"/>
  <c r="F35" i="14"/>
  <c r="F33" i="14"/>
  <c r="S17" i="14"/>
  <c r="F34" i="14"/>
  <c r="F31" i="14" s="1"/>
  <c r="C42" i="14"/>
  <c r="C43" i="14"/>
  <c r="F43" i="14"/>
  <c r="X20" i="14"/>
  <c r="S19" i="14"/>
  <c r="N4" i="14" l="1"/>
  <c r="K17" i="14" s="1"/>
  <c r="N46" i="14"/>
  <c r="B45" i="14"/>
  <c r="S45" i="14"/>
  <c r="S22" i="14"/>
  <c r="S18" i="14"/>
  <c r="F44" i="14"/>
  <c r="T14" i="14"/>
  <c r="G46" i="14"/>
  <c r="J24" i="14" l="1"/>
  <c r="J17" i="14" s="1"/>
  <c r="J7" i="14" s="1"/>
  <c r="S23" i="14"/>
  <c r="S46" i="14"/>
  <c r="S47" i="14"/>
  <c r="C48" i="14"/>
  <c r="S28" i="14"/>
  <c r="S48" i="14"/>
  <c r="C49" i="14"/>
  <c r="F49" i="14"/>
  <c r="S29" i="14" s="1"/>
  <c r="S33" i="14" s="1"/>
  <c r="S49" i="14"/>
  <c r="F50" i="14"/>
  <c r="S30" i="14" s="1"/>
  <c r="C5" i="14"/>
  <c r="S31" i="14"/>
  <c r="S20" i="14"/>
  <c r="C17" i="14"/>
  <c r="J8" i="14"/>
  <c r="S43" i="14"/>
  <c r="C44" i="14"/>
  <c r="J9" i="14" l="1"/>
  <c r="J18" i="14" s="1"/>
  <c r="F24" i="14"/>
  <c r="F26" i="14"/>
  <c r="F9" i="14"/>
  <c r="C23" i="14"/>
  <c r="C50" i="14"/>
  <c r="C52" i="14"/>
  <c r="F52" i="14"/>
  <c r="AQ52" i="14"/>
  <c r="AR52" i="14"/>
  <c r="AW52" i="14"/>
  <c r="S34" i="14"/>
  <c r="S35" i="14" l="1"/>
  <c r="D9" i="14"/>
  <c r="C8" i="14" s="1"/>
  <c r="H9" i="14"/>
  <c r="F18" i="14"/>
  <c r="AY52" i="14"/>
  <c r="C6" i="14"/>
  <c r="J6" i="14"/>
  <c r="AX52" i="14"/>
  <c r="J11" i="14"/>
  <c r="S32" i="14"/>
  <c r="F53" i="14"/>
  <c r="J16" i="14" l="1"/>
  <c r="C12" i="14"/>
  <c r="D18" i="14"/>
  <c r="F27" i="14"/>
  <c r="C14" i="14"/>
  <c r="D19" i="14" s="1"/>
  <c r="D10" i="14"/>
  <c r="J19" i="14"/>
  <c r="J10" i="14"/>
  <c r="AS53" i="14"/>
  <c r="B54" i="14"/>
  <c r="C60" i="14"/>
  <c r="B67" i="14"/>
  <c r="C67" i="14"/>
  <c r="D67" i="14"/>
  <c r="G67" i="14"/>
  <c r="AL67" i="14"/>
  <c r="C68" i="14"/>
  <c r="A72" i="14"/>
  <c r="A76" i="14" s="1"/>
  <c r="B72" i="14"/>
  <c r="B76" i="14" s="1"/>
  <c r="B75" i="14"/>
  <c r="C75" i="14"/>
  <c r="D75" i="14"/>
  <c r="D81" i="14" s="1"/>
  <c r="C81" i="14" s="1"/>
  <c r="E75" i="14"/>
  <c r="F75" i="14"/>
  <c r="G75" i="14"/>
  <c r="I75" i="14"/>
  <c r="J75" i="14"/>
  <c r="J81" i="14" s="1"/>
  <c r="I81" i="14" s="1"/>
  <c r="K75" i="14"/>
  <c r="L75" i="14"/>
  <c r="M75" i="14"/>
  <c r="E81" i="14"/>
  <c r="K81" i="14"/>
  <c r="A82" i="14"/>
  <c r="B82" i="14"/>
  <c r="D68" i="14" l="1"/>
  <c r="D72" i="14" s="1"/>
  <c r="E76" i="14" s="1"/>
  <c r="C72" i="14"/>
  <c r="C76" i="14" s="1"/>
  <c r="S24" i="14"/>
  <c r="S25" i="14" s="1"/>
  <c r="D27" i="14"/>
  <c r="C26" i="14" s="1"/>
  <c r="F46" i="14"/>
  <c r="N4" i="8"/>
  <c r="O4" i="8" s="1"/>
  <c r="N5" i="8"/>
  <c r="O5" i="8" s="1"/>
  <c r="N6" i="8"/>
  <c r="O6" i="8" s="1"/>
  <c r="N7" i="8"/>
  <c r="O7" i="8" s="1"/>
  <c r="S60" i="8"/>
  <c r="R60" i="8"/>
  <c r="Q60" i="8"/>
  <c r="P60" i="8"/>
  <c r="O60" i="8"/>
  <c r="N60" i="8"/>
  <c r="S59" i="8"/>
  <c r="R59" i="8"/>
  <c r="Q59" i="8"/>
  <c r="P59" i="8"/>
  <c r="O59" i="8"/>
  <c r="N59" i="8"/>
  <c r="T59" i="8" s="1"/>
  <c r="S58" i="8"/>
  <c r="R58" i="8"/>
  <c r="Q58" i="8"/>
  <c r="P58" i="8"/>
  <c r="O58" i="8"/>
  <c r="N58" i="8"/>
  <c r="S55" i="8"/>
  <c r="R55" i="8"/>
  <c r="Q55" i="8"/>
  <c r="P55" i="8"/>
  <c r="O55" i="8"/>
  <c r="N55" i="8"/>
  <c r="S54" i="8"/>
  <c r="R54" i="8"/>
  <c r="Q54" i="8"/>
  <c r="P54" i="8"/>
  <c r="O54" i="8"/>
  <c r="N54" i="8"/>
  <c r="S53" i="8"/>
  <c r="R53" i="8"/>
  <c r="Q53" i="8"/>
  <c r="P53" i="8"/>
  <c r="O53" i="8"/>
  <c r="N53" i="8"/>
  <c r="T53" i="8" s="1"/>
  <c r="S50" i="8"/>
  <c r="R50" i="8"/>
  <c r="Q50" i="8"/>
  <c r="P50" i="8"/>
  <c r="O50" i="8"/>
  <c r="N50" i="8"/>
  <c r="S49" i="8"/>
  <c r="R49" i="8"/>
  <c r="Q49" i="8"/>
  <c r="P49" i="8"/>
  <c r="O49" i="8"/>
  <c r="N49" i="8"/>
  <c r="S48" i="8"/>
  <c r="R48" i="8"/>
  <c r="Q48" i="8"/>
  <c r="P48" i="8"/>
  <c r="O48" i="8"/>
  <c r="N48" i="8"/>
  <c r="S45" i="8"/>
  <c r="R45" i="8"/>
  <c r="Q45" i="8"/>
  <c r="P45" i="8"/>
  <c r="O45" i="8"/>
  <c r="N45" i="8"/>
  <c r="T45" i="8" s="1"/>
  <c r="S44" i="8"/>
  <c r="R44" i="8"/>
  <c r="Q44" i="8"/>
  <c r="P44" i="8"/>
  <c r="O44" i="8"/>
  <c r="N44" i="8"/>
  <c r="S43" i="8"/>
  <c r="R43" i="8"/>
  <c r="Q43" i="8"/>
  <c r="P43" i="8"/>
  <c r="O43" i="8"/>
  <c r="N43" i="8"/>
  <c r="B13" i="8"/>
  <c r="B25" i="8"/>
  <c r="B19" i="8"/>
  <c r="B21" i="8"/>
  <c r="B14" i="8"/>
  <c r="B22" i="8"/>
  <c r="B17" i="8"/>
  <c r="B16" i="8"/>
  <c r="B12" i="8"/>
  <c r="B20" i="8"/>
  <c r="B15" i="8"/>
  <c r="B24" i="8"/>
  <c r="B23" i="8"/>
  <c r="B18" i="8"/>
  <c r="C24" i="14"/>
  <c r="C82" i="14" l="1"/>
  <c r="D82" i="14" s="1"/>
  <c r="D76" i="14"/>
  <c r="C30" i="14"/>
  <c r="F30" i="14" s="1"/>
  <c r="E67" i="14"/>
  <c r="E82" i="14"/>
  <c r="F82" i="14" s="1"/>
  <c r="F76" i="14"/>
  <c r="E68" i="14"/>
  <c r="C32" i="14"/>
  <c r="D28" i="14"/>
  <c r="T43" i="8"/>
  <c r="T49" i="8"/>
  <c r="T55" i="8"/>
  <c r="T48" i="8"/>
  <c r="T54" i="8"/>
  <c r="T60" i="8"/>
  <c r="T44" i="8"/>
  <c r="T50" i="8"/>
  <c r="T58" i="8"/>
  <c r="B29" i="8"/>
  <c r="B27" i="8"/>
  <c r="B28" i="8"/>
  <c r="B30" i="8"/>
  <c r="K2" i="3"/>
  <c r="K3" i="3" s="1"/>
  <c r="K4" i="3" s="1"/>
  <c r="K5" i="3" s="1"/>
  <c r="K6" i="3" s="1"/>
  <c r="K7" i="3" s="1"/>
  <c r="K8" i="3" s="1"/>
  <c r="K41" i="3"/>
  <c r="G38" i="3"/>
  <c r="L24" i="3"/>
  <c r="E53" i="3"/>
  <c r="D42" i="3"/>
  <c r="D49" i="3"/>
  <c r="D34" i="3"/>
  <c r="A36" i="3"/>
  <c r="J40" i="3"/>
  <c r="J38" i="3"/>
  <c r="H19" i="3"/>
  <c r="A34" i="3"/>
  <c r="G46" i="3"/>
  <c r="E47" i="3"/>
  <c r="H22" i="3"/>
  <c r="C40" i="3"/>
  <c r="A48" i="3"/>
  <c r="A16" i="3"/>
  <c r="F47" i="3"/>
  <c r="E27" i="3"/>
  <c r="A19" i="3"/>
  <c r="K25" i="3"/>
  <c r="A46" i="3"/>
  <c r="E20" i="3"/>
  <c r="F39" i="3"/>
  <c r="G33" i="3"/>
  <c r="A40" i="3"/>
  <c r="K36" i="3"/>
  <c r="M21" i="3"/>
  <c r="F35" i="3"/>
  <c r="M24" i="3"/>
  <c r="A21" i="3"/>
  <c r="A13" i="3"/>
  <c r="J42" i="3"/>
  <c r="H15" i="3"/>
  <c r="E44" i="3"/>
  <c r="I43" i="3"/>
  <c r="G48" i="3"/>
  <c r="C45" i="3"/>
  <c r="C46" i="3"/>
  <c r="D47" i="3"/>
  <c r="E38" i="3"/>
  <c r="D51" i="3"/>
  <c r="E49" i="3"/>
  <c r="A27" i="3"/>
  <c r="A38" i="3"/>
  <c r="F43" i="3"/>
  <c r="F33" i="3"/>
  <c r="F40" i="3"/>
  <c r="G34" i="3"/>
  <c r="K24" i="3"/>
  <c r="G44" i="3"/>
  <c r="G45" i="3"/>
  <c r="L25" i="3"/>
  <c r="C42" i="3"/>
  <c r="E35" i="3"/>
  <c r="E26" i="3"/>
  <c r="E50" i="3"/>
  <c r="H17" i="3"/>
  <c r="G35" i="3"/>
  <c r="D37" i="3"/>
  <c r="A22" i="3"/>
  <c r="F37" i="3"/>
  <c r="E28" i="3"/>
  <c r="F34" i="3"/>
  <c r="C44" i="3"/>
  <c r="J43" i="3"/>
  <c r="A23" i="3"/>
  <c r="K28" i="3"/>
  <c r="F49" i="3"/>
  <c r="K40" i="3"/>
  <c r="F42" i="3"/>
  <c r="E33" i="3"/>
  <c r="D48" i="3"/>
  <c r="E16" i="3"/>
  <c r="M23" i="3"/>
  <c r="C36" i="3"/>
  <c r="K43" i="3"/>
  <c r="A17" i="3"/>
  <c r="E39" i="3"/>
  <c r="E42" i="3"/>
  <c r="E48" i="3"/>
  <c r="F53" i="3"/>
  <c r="I41" i="3"/>
  <c r="C37" i="3"/>
  <c r="C47" i="3"/>
  <c r="H26" i="3"/>
  <c r="M25" i="3"/>
  <c r="F36" i="3"/>
  <c r="K42" i="3"/>
  <c r="I37" i="3"/>
  <c r="I35" i="3"/>
  <c r="D52" i="3"/>
  <c r="A45" i="3"/>
  <c r="E24" i="3"/>
  <c r="H20" i="3"/>
  <c r="D44" i="3"/>
  <c r="G41" i="3"/>
  <c r="F52" i="3"/>
  <c r="I42" i="3"/>
  <c r="E37" i="3"/>
  <c r="K35" i="3"/>
  <c r="G47" i="3"/>
  <c r="G49" i="3"/>
  <c r="J45" i="3"/>
  <c r="D33" i="3"/>
  <c r="G37" i="3"/>
  <c r="E36" i="3"/>
  <c r="F41" i="3"/>
  <c r="M27" i="3"/>
  <c r="E43" i="3"/>
  <c r="E45" i="3"/>
  <c r="H18" i="3"/>
  <c r="G51" i="3"/>
  <c r="M28" i="3"/>
  <c r="H29" i="3"/>
  <c r="G40" i="3"/>
  <c r="K23" i="3"/>
  <c r="A25" i="3"/>
  <c r="E41" i="3"/>
  <c r="C39" i="3"/>
  <c r="A47" i="3"/>
  <c r="A20" i="3"/>
  <c r="F38" i="3"/>
  <c r="D53" i="3"/>
  <c r="H28" i="3"/>
  <c r="C43" i="3"/>
  <c r="A42" i="3"/>
  <c r="I36" i="3"/>
  <c r="I38" i="3"/>
  <c r="K45" i="3"/>
  <c r="J35" i="3"/>
  <c r="E40" i="3"/>
  <c r="G39" i="3"/>
  <c r="G42" i="3"/>
  <c r="H14" i="3"/>
  <c r="A26" i="3"/>
  <c r="G43" i="3"/>
  <c r="E23" i="3"/>
  <c r="E14" i="3"/>
  <c r="H25" i="3"/>
  <c r="G36" i="3"/>
  <c r="K26" i="3"/>
  <c r="F44" i="3"/>
  <c r="A39" i="3"/>
  <c r="C41" i="3"/>
  <c r="J39" i="3"/>
  <c r="C38" i="3"/>
  <c r="A44" i="3"/>
  <c r="E51" i="3"/>
  <c r="E15" i="3"/>
  <c r="E34" i="3"/>
  <c r="E46" i="3"/>
  <c r="A18" i="3"/>
  <c r="K37" i="3"/>
  <c r="G50" i="3"/>
  <c r="A41" i="3"/>
  <c r="D35" i="3"/>
  <c r="F51" i="3"/>
  <c r="M26" i="3"/>
  <c r="H13" i="3"/>
  <c r="A37" i="3"/>
  <c r="I40" i="3"/>
  <c r="E25" i="3"/>
  <c r="E52" i="3"/>
  <c r="F46" i="3"/>
  <c r="K44" i="3"/>
  <c r="J37" i="3"/>
  <c r="F45" i="3"/>
  <c r="L27" i="3"/>
  <c r="A35" i="3"/>
  <c r="A43" i="3"/>
  <c r="A28" i="3"/>
  <c r="K22" i="3"/>
  <c r="C33" i="3"/>
  <c r="C34" i="3"/>
  <c r="D45" i="3"/>
  <c r="H24" i="3"/>
  <c r="E17" i="3"/>
  <c r="E22" i="3"/>
  <c r="K21" i="3"/>
  <c r="D50" i="3"/>
  <c r="J36" i="3"/>
  <c r="F48" i="3"/>
  <c r="H23" i="3"/>
  <c r="K27" i="3"/>
  <c r="A33" i="3"/>
  <c r="J41" i="3"/>
  <c r="H27" i="3"/>
  <c r="E18" i="3"/>
  <c r="D41" i="3"/>
  <c r="L22" i="3"/>
  <c r="F50" i="3"/>
  <c r="E21" i="3"/>
  <c r="D38" i="3"/>
  <c r="C48" i="3"/>
  <c r="M22" i="3"/>
  <c r="H21" i="3"/>
  <c r="D40" i="3"/>
  <c r="H12" i="3"/>
  <c r="D39" i="3"/>
  <c r="D36" i="3"/>
  <c r="C35" i="3"/>
  <c r="D46" i="3"/>
  <c r="L23" i="3"/>
  <c r="A15" i="3"/>
  <c r="I44" i="3"/>
  <c r="E19" i="3"/>
  <c r="L26" i="3"/>
  <c r="K39" i="3"/>
  <c r="A14" i="3"/>
  <c r="D43" i="3"/>
  <c r="K38" i="3"/>
  <c r="L21" i="3"/>
  <c r="L28" i="3"/>
  <c r="I39" i="3"/>
  <c r="A24" i="3"/>
  <c r="G52" i="3"/>
  <c r="J44" i="3"/>
  <c r="H16" i="3"/>
  <c r="G53" i="3"/>
  <c r="F32" i="14"/>
  <c r="T56" i="8" l="1"/>
  <c r="T51" i="8"/>
  <c r="K18" i="14"/>
  <c r="F36" i="14"/>
  <c r="E72" i="14"/>
  <c r="G76" i="14" s="1"/>
  <c r="H75" i="14"/>
  <c r="T61" i="8"/>
  <c r="T46" i="8"/>
  <c r="I19" i="3"/>
  <c r="I18" i="3"/>
  <c r="I17" i="3"/>
  <c r="I16" i="3"/>
  <c r="I15" i="3"/>
  <c r="I14" i="3"/>
  <c r="E13" i="3"/>
  <c r="I33" i="3"/>
  <c r="K16" i="14"/>
  <c r="AQ53" i="14" l="1"/>
  <c r="H76" i="14"/>
  <c r="G82" i="14"/>
  <c r="H82" i="14" s="1"/>
  <c r="K19" i="14"/>
  <c r="D36" i="14"/>
  <c r="F45" i="14"/>
  <c r="R11" i="14"/>
  <c r="V9" i="14" s="1"/>
  <c r="S36" i="14" s="1"/>
  <c r="H36" i="3"/>
  <c r="H37" i="3" s="1"/>
  <c r="H38" i="3" s="1"/>
  <c r="H39" i="3" s="1"/>
  <c r="H40" i="3" s="1"/>
  <c r="H41" i="3" s="1"/>
  <c r="H42" i="3" s="1"/>
  <c r="H43" i="3" s="1"/>
  <c r="H44" i="3" s="1"/>
  <c r="H45" i="3" s="1"/>
  <c r="I45" i="3"/>
  <c r="S37" i="14" l="1"/>
  <c r="X24" i="14"/>
  <c r="X25" i="14" s="1"/>
  <c r="F68" i="14"/>
  <c r="C35" i="14"/>
  <c r="D45" i="14"/>
  <c r="J22" i="14"/>
  <c r="L9" i="14" s="1"/>
  <c r="P9" i="14" s="1"/>
  <c r="C33" i="14"/>
  <c r="F54" i="14" l="1"/>
  <c r="D54" i="14" s="1"/>
  <c r="C53" i="14" s="1"/>
  <c r="J21" i="14"/>
  <c r="N5" i="14" s="1"/>
  <c r="C39" i="14"/>
  <c r="F67" i="14"/>
  <c r="F72" i="14"/>
  <c r="I76" i="14" s="1"/>
  <c r="G68" i="14"/>
  <c r="C41" i="14"/>
  <c r="D37" i="14"/>
  <c r="C58" i="14"/>
  <c r="C51" i="14"/>
  <c r="H67" i="14" l="1"/>
  <c r="I82" i="14"/>
  <c r="J82" i="14" s="1"/>
  <c r="J76" i="14"/>
  <c r="G72" i="14"/>
  <c r="H68" i="14"/>
  <c r="M76" i="14" s="1"/>
  <c r="J23" i="14"/>
  <c r="N3" i="14" l="1"/>
  <c r="K76" i="14"/>
  <c r="H72" i="14"/>
  <c r="M82" i="14" s="1"/>
  <c r="N2" i="14"/>
  <c r="L76" i="14" l="1"/>
  <c r="K82" i="14"/>
  <c r="L82" i="14" s="1"/>
  <c r="N8" i="14"/>
  <c r="N9" i="14" l="1"/>
  <c r="N11" i="14"/>
  <c r="N6" i="14"/>
  <c r="N12" i="14" l="1"/>
  <c r="R5" i="14"/>
  <c r="N10" i="14"/>
  <c r="R2" i="14"/>
  <c r="R8" i="14"/>
  <c r="R3" i="14"/>
  <c r="R9" i="14" l="1"/>
  <c r="V5" i="14"/>
  <c r="R6" i="14"/>
  <c r="V3" i="14" l="1"/>
  <c r="R10" i="14"/>
  <c r="C57" i="14" s="1"/>
  <c r="C59" i="14" s="1"/>
  <c r="R12" i="14"/>
  <c r="R13" i="14" l="1"/>
</calcChain>
</file>

<file path=xl/sharedStrings.xml><?xml version="1.0" encoding="utf-8"?>
<sst xmlns="http://schemas.openxmlformats.org/spreadsheetml/2006/main" count="1539" uniqueCount="376">
  <si>
    <t>№ пп</t>
  </si>
  <si>
    <t>Показатель</t>
  </si>
  <si>
    <t>Температура наружного воздуха, С</t>
  </si>
  <si>
    <t>Режимы</t>
  </si>
  <si>
    <t>Теплофикационные режимы</t>
  </si>
  <si>
    <t>tохл.в. 35С</t>
  </si>
  <si>
    <t>tохл.в. 40С</t>
  </si>
  <si>
    <t>ПСГ 2 - выкл</t>
  </si>
  <si>
    <t>Газотурбинная установка</t>
  </si>
  <si>
    <t>Относительная нагрузка ГТУ, %</t>
  </si>
  <si>
    <t>Мощность, МВт</t>
  </si>
  <si>
    <t>КПД на клеммах, %</t>
  </si>
  <si>
    <t>Расход топлива, кг/с</t>
  </si>
  <si>
    <t>(Qнр = 49084 кДж/кг)</t>
  </si>
  <si>
    <t>Расход выхлопных газов, кг/с</t>
  </si>
  <si>
    <t>Температура выхлопных газов, С</t>
  </si>
  <si>
    <t>Котел-утилизатор</t>
  </si>
  <si>
    <t>Температура дымовых газов, °С:</t>
  </si>
  <si>
    <t>после ПеВД</t>
  </si>
  <si>
    <t>после ИВД</t>
  </si>
  <si>
    <t>после ЭКВД</t>
  </si>
  <si>
    <t>после ППНД</t>
  </si>
  <si>
    <t>после ИНД</t>
  </si>
  <si>
    <t>после ГПК (ух.газы)</t>
  </si>
  <si>
    <t>Тракт ВД:</t>
  </si>
  <si>
    <t>Расход пара, кг/с</t>
  </si>
  <si>
    <t>Давление пара, МПа</t>
  </si>
  <si>
    <t>Температура пара, °С</t>
  </si>
  <si>
    <t>Тракт НД:</t>
  </si>
  <si>
    <t>Паровая турбина</t>
  </si>
  <si>
    <t>Пар ВД на входе в турбину:</t>
  </si>
  <si>
    <t>Расход, кг/с</t>
  </si>
  <si>
    <t>Температура пара, °С:</t>
  </si>
  <si>
    <t>Пар НД на входе в турбину:</t>
  </si>
  <si>
    <t>Пар после смешения:</t>
  </si>
  <si>
    <t>Температура пара,°С</t>
  </si>
  <si>
    <t>Пар в отборе 2:</t>
  </si>
  <si>
    <t>Пар в отборе 1:</t>
  </si>
  <si>
    <t>Пар перед ЦНД:</t>
  </si>
  <si>
    <t>Степень сухости пара/влажность пара , %</t>
  </si>
  <si>
    <t>/0,21</t>
  </si>
  <si>
    <t>/2,62</t>
  </si>
  <si>
    <t>/2,85</t>
  </si>
  <si>
    <t>/4,76</t>
  </si>
  <si>
    <t>/4,84</t>
  </si>
  <si>
    <t>/5,0</t>
  </si>
  <si>
    <t>/5,57</t>
  </si>
  <si>
    <t>/4,56</t>
  </si>
  <si>
    <t>Расход сетевой воды, кг/с</t>
  </si>
  <si>
    <t>из них: на ОКБ, кг/с</t>
  </si>
  <si>
    <t>на ВВТО, кг/с</t>
  </si>
  <si>
    <t>Температура прямой сетевой воды, °С</t>
  </si>
  <si>
    <t>Температура обратной сетевой воды, °С</t>
  </si>
  <si>
    <t>Пар после ЦНД:</t>
  </si>
  <si>
    <t>/0,65</t>
  </si>
  <si>
    <t>/2,96</t>
  </si>
  <si>
    <t>/5,12</t>
  </si>
  <si>
    <t>/5,32</t>
  </si>
  <si>
    <t>/7,93</t>
  </si>
  <si>
    <t>/6,04</t>
  </si>
  <si>
    <t>/5,90</t>
  </si>
  <si>
    <t>/10,69</t>
  </si>
  <si>
    <t>/8,65</t>
  </si>
  <si>
    <t>Конденсатор:</t>
  </si>
  <si>
    <t>Температура конденсата, °С</t>
  </si>
  <si>
    <t>Расход охлаждающей воды, кг/с</t>
  </si>
  <si>
    <t>Температура охлажд. воды на входе, °С</t>
  </si>
  <si>
    <t>Температура охлажд. воды на выходе, °С</t>
  </si>
  <si>
    <t>Температура основного конденсата после КПУ,</t>
  </si>
  <si>
    <t>°С</t>
  </si>
  <si>
    <t>Температура конденсата после ОКБ, °С</t>
  </si>
  <si>
    <t>Температура основного конденсата после</t>
  </si>
  <si>
    <t>смешения с конденсатом ОКБ, °С</t>
  </si>
  <si>
    <t>Расход конденсата на ГПК до точки смешения</t>
  </si>
  <si>
    <t>с рец., кг/с</t>
  </si>
  <si>
    <t>Расход конденсата на ГПК за точкой</t>
  </si>
  <si>
    <t>смешения, кг/с</t>
  </si>
  <si>
    <t>Расход рециркуляции ГПК, кг/с</t>
  </si>
  <si>
    <t>Расход байпаса ГПК, кг/с</t>
  </si>
  <si>
    <t>Температура конденсата перед ГПК (после</t>
  </si>
  <si>
    <t>смешения с рец), °С</t>
  </si>
  <si>
    <t>Температура основного конденсата после ГПК,</t>
  </si>
  <si>
    <t>Температура питательн. воды перед ЭВД, °С</t>
  </si>
  <si>
    <t>Температура воды после ЭВД, °С</t>
  </si>
  <si>
    <t>Давление пара в БВД, МПа</t>
  </si>
  <si>
    <t>Давление пара в БНД, МПа</t>
  </si>
  <si>
    <t>ПГУ</t>
  </si>
  <si>
    <t>Мощность ГТУ, МВт</t>
  </si>
  <si>
    <t>Мощность ПТ, МВт</t>
  </si>
  <si>
    <t>Мощность ПГУ брутто, МВт</t>
  </si>
  <si>
    <t>МВт</t>
  </si>
  <si>
    <t>Гкал/ч</t>
  </si>
  <si>
    <t>Суммарная тепловая нагрузка блока, Гкал/ч</t>
  </si>
  <si>
    <t>Расход условного топлива на блок, т.у.т/ч</t>
  </si>
  <si>
    <t>Удельный расход условного топлива на</t>
  </si>
  <si>
    <t>выработанное тепло, кг/Гкал</t>
  </si>
  <si>
    <t>Расход условного топлива на выработку</t>
  </si>
  <si>
    <t>тепла, т.у.т/ч</t>
  </si>
  <si>
    <t>эл.энергии, т.у.т/ч</t>
  </si>
  <si>
    <t>выработанную электроэнергию, г/кВт.ч</t>
  </si>
  <si>
    <t>Коэффициент использов. тепла топлива, %</t>
  </si>
  <si>
    <t>Доля электроэнергии в отпуск. энергии.</t>
  </si>
  <si>
    <t>Теплотехнические показатели ПГУ -220Т ТЭЦ-12 Мосэнерго</t>
  </si>
  <si>
    <t>Состав оборудования: ГТЭ-160 + котел-утилизатора + Т-56/73-7,8/0,04 Теплофикационные режимы</t>
  </si>
  <si>
    <t>Таблица № 3</t>
  </si>
  <si>
    <t>№</t>
  </si>
  <si>
    <t>пп</t>
  </si>
  <si>
    <r>
      <t xml:space="preserve">Температура наружного воздуха, </t>
    </r>
    <r>
      <rPr>
        <sz val="12"/>
        <color theme="1"/>
        <rFont val="Symbol"/>
        <family val="1"/>
        <charset val="2"/>
      </rPr>
      <t>°</t>
    </r>
    <r>
      <rPr>
        <sz val="12"/>
        <color theme="1"/>
        <rFont val="Times New Roman"/>
        <family val="1"/>
        <charset val="204"/>
      </rPr>
      <t>С</t>
    </r>
  </si>
  <si>
    <t>Dк=min</t>
  </si>
  <si>
    <t>1хПСГ</t>
  </si>
  <si>
    <t>Температура дымовых газов,°С:</t>
  </si>
  <si>
    <t>Расход пара,кг/с</t>
  </si>
  <si>
    <t>Расход, т/ч</t>
  </si>
  <si>
    <t>Продолжение таблицы № 3</t>
  </si>
  <si>
    <t>Степень сухости/влажность пара , %</t>
  </si>
  <si>
    <t>/0,14</t>
  </si>
  <si>
    <t>/2,07</t>
  </si>
  <si>
    <t>/2,46</t>
  </si>
  <si>
    <t>/1,35</t>
  </si>
  <si>
    <t>Расход сетевой воды, т/ч</t>
  </si>
  <si>
    <t>Температура прям. сетевой воды, °С</t>
  </si>
  <si>
    <t>Температура обрат. сетевой воды, °С</t>
  </si>
  <si>
    <t>Степень сухости/влажность пара, %</t>
  </si>
  <si>
    <t>/2,68</t>
  </si>
  <si>
    <t>/4,18</t>
  </si>
  <si>
    <t>/6,56</t>
  </si>
  <si>
    <t>/3,82</t>
  </si>
  <si>
    <t>Тем-ра охлажд. воды на входе, °С</t>
  </si>
  <si>
    <t>Тем-ра охлажд. воды на выходе, °С</t>
  </si>
  <si>
    <t>Температура основного конденсата</t>
  </si>
  <si>
    <t>после КПУ, °С</t>
  </si>
  <si>
    <t>Тем-ра конденсата после ОКБ, °С</t>
  </si>
  <si>
    <t>Тем-ра основного конденсата после</t>
  </si>
  <si>
    <t>Расход конденсата на ГПК до точки</t>
  </si>
  <si>
    <t>Расход конденсата на рециркуляцию,</t>
  </si>
  <si>
    <t>кг/с</t>
  </si>
  <si>
    <t>Температура конденсата перед ГПК</t>
  </si>
  <si>
    <t>(после смешения с рец), °С</t>
  </si>
  <si>
    <t>после ГПК, °С</t>
  </si>
  <si>
    <t>Тем-ра питат. воды перед ЭВД, °С</t>
  </si>
  <si>
    <t>Тепловая нагрузка ПСГ-1, МВт</t>
  </si>
  <si>
    <t>Тепловая нагрузка ПСГ-2, МВт</t>
  </si>
  <si>
    <t>Тепловая нагрузка ОКБ, МВт</t>
  </si>
  <si>
    <t>Тепловая нагрузка ВВТО, МВт</t>
  </si>
  <si>
    <t>Суммар. тепл. нагрузка блока, Гкал/ч</t>
  </si>
  <si>
    <t>Расход условного топлива на блок,</t>
  </si>
  <si>
    <t>т.у.т/ч</t>
  </si>
  <si>
    <t>Расход усл. топлива на выработку</t>
  </si>
  <si>
    <t>Удельный расход условного топлива на выработанную электроэнергию, г/кВт.ч</t>
  </si>
  <si>
    <t>Электрический КПД ПГУ, %</t>
  </si>
  <si>
    <t>Доля эл.энергии в отпуск. энергии</t>
  </si>
  <si>
    <t>Состав оборудования:ГТЭ-160 + котел-утилизатора + Т-56/73-7,8/0,04 Теплофикационные режимы</t>
  </si>
  <si>
    <t>Таблица № 4</t>
  </si>
  <si>
    <t>1хПСВ</t>
  </si>
  <si>
    <t>Степень сухости пара/влажность пара ,</t>
  </si>
  <si>
    <t>/0,34</t>
  </si>
  <si>
    <t>/1,81</t>
  </si>
  <si>
    <t>/0,44</t>
  </si>
  <si>
    <t>/2,82</t>
  </si>
  <si>
    <t>/3,91</t>
  </si>
  <si>
    <t>/3,11</t>
  </si>
  <si>
    <t>Расход конденс. на рециркуляцию, кг/с</t>
  </si>
  <si>
    <t>Удельный расход условного топлива на выработанное тепло, кг/Гкал</t>
  </si>
  <si>
    <t>Состав оборудования: ГТЭ-160 + котел-утилизатора + Т-56/73-7,8/0,04 Конденсационные режимы</t>
  </si>
  <si>
    <t>Таблица № 5</t>
  </si>
  <si>
    <t>Конденсационные режимы</t>
  </si>
  <si>
    <t>ISO</t>
  </si>
  <si>
    <t>tо.в.20 С</t>
  </si>
  <si>
    <t>tо.в.25 С</t>
  </si>
  <si>
    <t>tо.в.35 С</t>
  </si>
  <si>
    <t>tо.в.40 С</t>
  </si>
  <si>
    <t>210.2</t>
  </si>
  <si>
    <t>/2,39</t>
  </si>
  <si>
    <t>/2,36</t>
  </si>
  <si>
    <t>/2,38</t>
  </si>
  <si>
    <t>/2,34</t>
  </si>
  <si>
    <t>/2,25</t>
  </si>
  <si>
    <t>/2,24</t>
  </si>
  <si>
    <t>/1,89</t>
  </si>
  <si>
    <t>/1,90</t>
  </si>
  <si>
    <t>/1,23</t>
  </si>
  <si>
    <t>/1,20</t>
  </si>
  <si>
    <t>-</t>
  </si>
  <si>
    <t>/10,27</t>
  </si>
  <si>
    <t>/10,25</t>
  </si>
  <si>
    <t>/10,04</t>
  </si>
  <si>
    <t>/9,95</t>
  </si>
  <si>
    <t>/9,73</t>
  </si>
  <si>
    <t>/9,46</t>
  </si>
  <si>
    <t>/9,45</t>
  </si>
  <si>
    <t>/9,78</t>
  </si>
  <si>
    <t>/9,20</t>
  </si>
  <si>
    <t>/8,68</t>
  </si>
  <si>
    <t>/7,10</t>
  </si>
  <si>
    <t>/6,52</t>
  </si>
  <si>
    <t>КПУ, °С</t>
  </si>
  <si>
    <t>ГПК, °С</t>
  </si>
  <si>
    <t>Теплотехнические показатели ПГУ -220Т ТЭЦ-12 Мосэнерго.</t>
  </si>
  <si>
    <t>Состав оборудования: ГТЭ-160 + котел-утилизатора + Т-56/73-7,8/0,04 Конденсационные режимы. Нагрузка 75%</t>
  </si>
  <si>
    <t>Таблица № 6</t>
  </si>
  <si>
    <t>Продолжение таблицы № 6</t>
  </si>
  <si>
    <t>/3,5</t>
  </si>
  <si>
    <t>/3,37</t>
  </si>
  <si>
    <t>/3,0</t>
  </si>
  <si>
    <t>/2,37</t>
  </si>
  <si>
    <t>/10,0</t>
  </si>
  <si>
    <t>/9,7</t>
  </si>
  <si>
    <t>/9,5</t>
  </si>
  <si>
    <t>/9,2</t>
  </si>
  <si>
    <t>/8,4</t>
  </si>
  <si>
    <t>/6,7</t>
  </si>
  <si>
    <t>Расход конденсата на байпас, кг/с</t>
  </si>
  <si>
    <t>после ГПК (с учетом байпаса), °С</t>
  </si>
  <si>
    <t>Состав оборудования:ГТЭ-160 + котел-утилизатора + Т-56/73-7,8/0,04 Конденсационные режимы</t>
  </si>
  <si>
    <t>Таблица № 7</t>
  </si>
  <si>
    <r>
      <t>t</t>
    </r>
    <r>
      <rPr>
        <sz val="8"/>
        <color theme="1"/>
        <rFont val="Times New Roman"/>
        <family val="1"/>
        <charset val="204"/>
      </rPr>
      <t xml:space="preserve">охл.в.35 </t>
    </r>
    <r>
      <rPr>
        <sz val="9"/>
        <color theme="1"/>
        <rFont val="Times New Roman"/>
        <family val="1"/>
        <charset val="204"/>
      </rPr>
      <t>С</t>
    </r>
  </si>
  <si>
    <t>Продолжение таблицы № 7</t>
  </si>
  <si>
    <t>/2,75</t>
  </si>
  <si>
    <t>/2,72</t>
  </si>
  <si>
    <t>/2,61</t>
  </si>
  <si>
    <t>/1,63</t>
  </si>
  <si>
    <t>/9,27</t>
  </si>
  <si>
    <t>/8,92</t>
  </si>
  <si>
    <t>/8,40</t>
  </si>
  <si>
    <t>/7,94</t>
  </si>
  <si>
    <t>/5,87</t>
  </si>
  <si>
    <t>Удельный расход условного топлива</t>
  </si>
  <si>
    <t>на выработанное тепло, кг/Гкал</t>
  </si>
  <si>
    <t>на выработанную электроэнергию,</t>
  </si>
  <si>
    <t>г/кВт.ч</t>
  </si>
  <si>
    <t>Исходные данные</t>
  </si>
  <si>
    <t>Нагрузка</t>
  </si>
  <si>
    <t>Температура воздуха, С</t>
  </si>
  <si>
    <t>ntatm</t>
  </si>
  <si>
    <t>tatm</t>
  </si>
  <si>
    <t>efftatm</t>
  </si>
  <si>
    <t>g_tatm</t>
  </si>
  <si>
    <t>Поправка для G по tнв</t>
  </si>
  <si>
    <t>Поправка для N по tнв</t>
  </si>
  <si>
    <t>Поправка для N по Pвх</t>
  </si>
  <si>
    <t>Поправка для N по Pвых</t>
  </si>
  <si>
    <t>Поправка для G по n</t>
  </si>
  <si>
    <t>Поправка для G по Pвх</t>
  </si>
  <si>
    <t>Поправка для tкт по n</t>
  </si>
  <si>
    <t>Поправка для tкт по Pвх</t>
  </si>
  <si>
    <t>Поправка для tкт по Pвых</t>
  </si>
  <si>
    <t>Поправка для tкт по tнв</t>
  </si>
  <si>
    <t>Поправка для КПД  по n</t>
  </si>
  <si>
    <t>Поправка для КПД по Pвх</t>
  </si>
  <si>
    <t>Поправка для КПД по Pвых</t>
  </si>
  <si>
    <t>Поправка для КПД по tнв</t>
  </si>
  <si>
    <t>Потери давления на входе в турбину, мБар</t>
  </si>
  <si>
    <t>Потери давления на выходе из турбины, мБар</t>
  </si>
  <si>
    <t>Данные ISO</t>
  </si>
  <si>
    <t>Поправочные коэффициенты</t>
  </si>
  <si>
    <t xml:space="preserve">Полученные результаты </t>
  </si>
  <si>
    <t>ГТУ</t>
  </si>
  <si>
    <t>Конденсатор</t>
  </si>
  <si>
    <t>ISO1</t>
  </si>
  <si>
    <t>ISO2</t>
  </si>
  <si>
    <t>Среднее</t>
  </si>
  <si>
    <t>Проверка погрешности</t>
  </si>
  <si>
    <t>Тепловая нагрузка ПСГ-1,МВт</t>
  </si>
  <si>
    <t>Тепловая нагрузка ПСГ-2,МВт</t>
  </si>
  <si>
    <t>Тепловая нагрузка ОКБ,МВт</t>
  </si>
  <si>
    <t>Тепловая нагрузка ВВТО,МВт</t>
  </si>
  <si>
    <t>Темпа</t>
  </si>
  <si>
    <t>ГПК</t>
  </si>
  <si>
    <t>ИНД</t>
  </si>
  <si>
    <t>ПЕНД</t>
  </si>
  <si>
    <t>ЭВД</t>
  </si>
  <si>
    <t>ИВД</t>
  </si>
  <si>
    <t>ПЕВД</t>
  </si>
  <si>
    <t>Пар</t>
  </si>
  <si>
    <t>Из отчета НД</t>
  </si>
  <si>
    <t>Из очтета ВД</t>
  </si>
  <si>
    <t>Пар из отчета</t>
  </si>
  <si>
    <t>НД</t>
  </si>
  <si>
    <t>ВД</t>
  </si>
  <si>
    <t>Газ из отчета</t>
  </si>
  <si>
    <t>Q</t>
  </si>
  <si>
    <t>Газ</t>
  </si>
  <si>
    <t>Контур НД</t>
  </si>
  <si>
    <t>Контур ВД</t>
  </si>
  <si>
    <t>Из отчета</t>
  </si>
  <si>
    <t>Мощность ПТУ</t>
  </si>
  <si>
    <t>Мощность насосов</t>
  </si>
  <si>
    <t>Вход ЧНД</t>
  </si>
  <si>
    <t>Перед ЧНД</t>
  </si>
  <si>
    <t>С</t>
  </si>
  <si>
    <t>Недогрев ГПК</t>
  </si>
  <si>
    <t>Вход ЧВД-2</t>
  </si>
  <si>
    <t>Недогрев ИНД</t>
  </si>
  <si>
    <t>D0</t>
  </si>
  <si>
    <t>Q, kW</t>
  </si>
  <si>
    <t>G, kg/sec</t>
  </si>
  <si>
    <t>Вход ПЕНД</t>
  </si>
  <si>
    <t>Недогрев ИВД</t>
  </si>
  <si>
    <t>kJ/kg</t>
  </si>
  <si>
    <t>H</t>
  </si>
  <si>
    <t>I</t>
  </si>
  <si>
    <t>Вход ЧВД-1</t>
  </si>
  <si>
    <t>Недогрев ЭВД</t>
  </si>
  <si>
    <t>MPa</t>
  </si>
  <si>
    <t>P</t>
  </si>
  <si>
    <t>X</t>
  </si>
  <si>
    <t>S</t>
  </si>
  <si>
    <t>T</t>
  </si>
  <si>
    <t>Недогрев ПЕНД</t>
  </si>
  <si>
    <t>°C</t>
  </si>
  <si>
    <t>вх</t>
  </si>
  <si>
    <t>вых</t>
  </si>
  <si>
    <t>Отчет</t>
  </si>
  <si>
    <t>Расчет</t>
  </si>
  <si>
    <t>Недогрев ПЕВД</t>
  </si>
  <si>
    <t>H2O</t>
  </si>
  <si>
    <t>Ar</t>
  </si>
  <si>
    <t>МПа</t>
  </si>
  <si>
    <t>Давление БНД</t>
  </si>
  <si>
    <t>CO2</t>
  </si>
  <si>
    <t>Потеря давления ПЕНД</t>
  </si>
  <si>
    <t>вода</t>
  </si>
  <si>
    <t>газ</t>
  </si>
  <si>
    <t>O2</t>
  </si>
  <si>
    <t>Потеря давления в паре НД</t>
  </si>
  <si>
    <t>DВД</t>
  </si>
  <si>
    <t>N2</t>
  </si>
  <si>
    <t>Потеря давления на смешение</t>
  </si>
  <si>
    <t>Hводы</t>
  </si>
  <si>
    <t>DНД</t>
  </si>
  <si>
    <t>Состав уходящих газов, мол. %:</t>
  </si>
  <si>
    <t xml:space="preserve">Давление </t>
  </si>
  <si>
    <t>Давление БВД</t>
  </si>
  <si>
    <t>Температура уходящих газов, °С</t>
  </si>
  <si>
    <t>Потеря давления ПЕВД</t>
  </si>
  <si>
    <t>Расход</t>
  </si>
  <si>
    <t>Потеря давления в паре ВД</t>
  </si>
  <si>
    <t>КПД ген</t>
  </si>
  <si>
    <t>КПД мех</t>
  </si>
  <si>
    <t>пар</t>
  </si>
  <si>
    <t>КПД элдвиг</t>
  </si>
  <si>
    <t>И НД</t>
  </si>
  <si>
    <t>Dр</t>
  </si>
  <si>
    <t>КПД РН</t>
  </si>
  <si>
    <t>КПД КН</t>
  </si>
  <si>
    <t>Ht</t>
  </si>
  <si>
    <t>КПД ПННД</t>
  </si>
  <si>
    <t>м</t>
  </si>
  <si>
    <t>КПД ПНВД</t>
  </si>
  <si>
    <t>Потери ПЕНД</t>
  </si>
  <si>
    <t>kJ/kgK</t>
  </si>
  <si>
    <t>Потери в ПЕВД</t>
  </si>
  <si>
    <t>Потери пара ВД</t>
  </si>
  <si>
    <t>КПД КУ ТО</t>
  </si>
  <si>
    <t>Давление перед ЦНД</t>
  </si>
  <si>
    <t>ПЕ НД</t>
  </si>
  <si>
    <t>Рециркуляционный насос</t>
  </si>
  <si>
    <t>Dк</t>
  </si>
  <si>
    <t>G</t>
  </si>
  <si>
    <t>Сумма</t>
  </si>
  <si>
    <t>ЭК ВД</t>
  </si>
  <si>
    <t>вых.уд.Об.</t>
  </si>
  <si>
    <t>Конденсатный насос</t>
  </si>
  <si>
    <t>вх.уд.Об.</t>
  </si>
  <si>
    <t>ПНВД</t>
  </si>
  <si>
    <t>Смешение ВД и НД</t>
  </si>
  <si>
    <t>Y</t>
  </si>
  <si>
    <t>X пара</t>
  </si>
  <si>
    <t>N</t>
  </si>
  <si>
    <t>КПД</t>
  </si>
  <si>
    <t>И ВД</t>
  </si>
  <si>
    <t>К-р</t>
  </si>
  <si>
    <t>ЧНД</t>
  </si>
  <si>
    <t>ЧВД-2</t>
  </si>
  <si>
    <t>ЧВД-1</t>
  </si>
  <si>
    <t>ПЕ ВД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</si>
</sst>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#,##0.0000"/>
    <numFmt numFmtId="166" formatCode="#.##0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.5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.5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.5"/>
      <color theme="1"/>
      <name val="Times New Roman"/>
      <family val="1"/>
      <charset val="204"/>
    </font>
    <font>
      <sz val="11.5"/>
      <color theme="1"/>
      <name val="Times New Roman"/>
      <family val="1"/>
      <charset val="204"/>
    </font>
    <font>
      <b/>
      <sz val="11.5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Symbol"/>
      <family val="1"/>
      <charset val="2"/>
    </font>
    <font>
      <sz val="13.5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b/>
      <sz val="12.5"/>
      <color theme="1"/>
      <name val="Times New Roman"/>
      <family val="1"/>
      <charset val="204"/>
    </font>
    <font>
      <sz val="14.5"/>
      <color theme="1"/>
      <name val="Times New Roman"/>
      <family val="1"/>
      <charset val="204"/>
    </font>
    <font>
      <sz val="15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8"/>
      <color theme="1"/>
      <name val="Times New Roman"/>
      <family val="1"/>
      <charset val="204"/>
    </font>
    <font>
      <b/>
      <sz val="13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2"/>
      <color rgb="FF595959"/>
      <name val="Times New Roman"/>
      <family val="1"/>
      <charset val="204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rgb="FF00B0F0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theme="8" tint="0.39997558519241921"/>
        <bgColor rgb="FF00B0F0"/>
      </patternFill>
    </fill>
    <fill>
      <patternFill patternType="solid">
        <fgColor rgb="FFFFFF00"/>
        <bgColor rgb="FF00B0F0"/>
      </patternFill>
    </fill>
    <fill>
      <patternFill patternType="solid">
        <fgColor theme="5"/>
        <bgColor rgb="FF00B0F0"/>
      </patternFill>
    </fill>
    <fill>
      <patternFill patternType="solid">
        <fgColor rgb="FFFF0000"/>
        <bgColor rgb="FF00B0F0"/>
      </patternFill>
    </fill>
  </fills>
  <borders count="72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thick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/>
      <diagonal/>
    </border>
    <border>
      <left style="medium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9" fontId="24" fillId="0" borderId="0" applyFont="0" applyFill="0" applyBorder="0" applyAlignment="0" applyProtection="0"/>
    <xf numFmtId="0" fontId="24" fillId="0" borderId="0"/>
    <xf numFmtId="0" fontId="25" fillId="0" borderId="0"/>
  </cellStyleXfs>
  <cellXfs count="436">
    <xf numFmtId="0" fontId="0" fillId="0" borderId="0" xfId="0"/>
    <xf numFmtId="0" fontId="7" fillId="0" borderId="0" xfId="0" applyFont="1" applyAlignment="1">
      <alignment horizontal="center" vertical="center"/>
    </xf>
    <xf numFmtId="0" fontId="0" fillId="2" borderId="0" xfId="0" applyFill="1"/>
    <xf numFmtId="2" fontId="0" fillId="0" borderId="0" xfId="0" applyNumberFormat="1"/>
    <xf numFmtId="0" fontId="0" fillId="0" borderId="0" xfId="0" applyFill="1"/>
    <xf numFmtId="0" fontId="1" fillId="0" borderId="41" xfId="0" applyFont="1" applyBorder="1" applyAlignment="1">
      <alignment horizontal="left" vertical="center" wrapText="1"/>
    </xf>
    <xf numFmtId="0" fontId="5" fillId="0" borderId="42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left" vertical="center" wrapText="1"/>
    </xf>
    <xf numFmtId="0" fontId="5" fillId="0" borderId="44" xfId="0" applyFont="1" applyBorder="1" applyAlignment="1">
      <alignment horizontal="center" vertical="center" wrapText="1"/>
    </xf>
    <xf numFmtId="0" fontId="1" fillId="0" borderId="45" xfId="0" applyFont="1" applyBorder="1" applyAlignment="1">
      <alignment horizontal="left" vertical="center" wrapText="1"/>
    </xf>
    <xf numFmtId="0" fontId="5" fillId="0" borderId="46" xfId="0" applyFont="1" applyBorder="1" applyAlignment="1">
      <alignment horizontal="center" vertical="center" wrapText="1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Border="1"/>
    <xf numFmtId="0" fontId="0" fillId="0" borderId="46" xfId="0" applyBorder="1"/>
    <xf numFmtId="0" fontId="0" fillId="3" borderId="53" xfId="0" applyFill="1" applyBorder="1"/>
    <xf numFmtId="0" fontId="0" fillId="3" borderId="54" xfId="0" applyFill="1" applyBorder="1"/>
    <xf numFmtId="0" fontId="0" fillId="3" borderId="55" xfId="0" applyFill="1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7" fillId="0" borderId="40" xfId="0" applyFont="1" applyBorder="1" applyAlignment="1">
      <alignment horizontal="center" vertical="center" wrapText="1"/>
    </xf>
    <xf numFmtId="0" fontId="0" fillId="0" borderId="45" xfId="0" applyFill="1" applyBorder="1"/>
    <xf numFmtId="0" fontId="0" fillId="0" borderId="46" xfId="0" applyFill="1" applyBorder="1"/>
    <xf numFmtId="0" fontId="7" fillId="0" borderId="59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7" fillId="0" borderId="61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0" xfId="0" applyFont="1"/>
    <xf numFmtId="0" fontId="7" fillId="2" borderId="0" xfId="0" applyFont="1" applyFill="1"/>
    <xf numFmtId="0" fontId="7" fillId="0" borderId="40" xfId="0" applyFont="1" applyBorder="1"/>
    <xf numFmtId="0" fontId="7" fillId="0" borderId="63" xfId="0" applyFont="1" applyFill="1" applyBorder="1"/>
    <xf numFmtId="0" fontId="5" fillId="0" borderId="40" xfId="0" applyFont="1" applyBorder="1" applyAlignment="1">
      <alignment horizontal="center" vertical="center" wrapText="1"/>
    </xf>
    <xf numFmtId="0" fontId="0" fillId="0" borderId="40" xfId="0" applyBorder="1"/>
    <xf numFmtId="0" fontId="24" fillId="0" borderId="0" xfId="2"/>
    <xf numFmtId="0" fontId="21" fillId="0" borderId="0" xfId="2" applyFont="1"/>
    <xf numFmtId="0" fontId="2" fillId="0" borderId="6" xfId="2" applyFont="1" applyBorder="1" applyAlignment="1">
      <alignment horizontal="center" vertical="center" wrapText="1"/>
    </xf>
    <xf numFmtId="0" fontId="2" fillId="0" borderId="6" xfId="2" applyFont="1" applyBorder="1" applyAlignment="1">
      <alignment horizontal="left" vertical="center" wrapText="1" indent="1"/>
    </xf>
    <xf numFmtId="0" fontId="2" fillId="0" borderId="6" xfId="2" applyFont="1" applyBorder="1" applyAlignment="1">
      <alignment horizontal="left" vertical="center" wrapText="1" indent="2"/>
    </xf>
    <xf numFmtId="0" fontId="6" fillId="0" borderId="6" xfId="2" applyFont="1" applyBorder="1" applyAlignment="1">
      <alignment horizontal="center" vertical="center" wrapText="1"/>
    </xf>
    <xf numFmtId="0" fontId="22" fillId="0" borderId="6" xfId="2" applyFont="1" applyBorder="1" applyAlignment="1">
      <alignment horizontal="center" vertical="center" wrapText="1"/>
    </xf>
    <xf numFmtId="0" fontId="4" fillId="0" borderId="6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right" vertical="center" wrapText="1"/>
    </xf>
    <xf numFmtId="0" fontId="2" fillId="0" borderId="9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center" vertical="center" wrapText="1"/>
    </xf>
    <xf numFmtId="0" fontId="2" fillId="0" borderId="11" xfId="2" applyFont="1" applyBorder="1" applyAlignment="1">
      <alignment horizontal="left" vertical="center" wrapText="1" indent="1"/>
    </xf>
    <xf numFmtId="0" fontId="6" fillId="0" borderId="11" xfId="2" applyFont="1" applyBorder="1" applyAlignment="1">
      <alignment horizontal="center" vertical="center" wrapText="1"/>
    </xf>
    <xf numFmtId="0" fontId="2" fillId="0" borderId="9" xfId="2" applyFont="1" applyBorder="1" applyAlignment="1">
      <alignment horizontal="center" vertical="center" wrapText="1"/>
    </xf>
    <xf numFmtId="0" fontId="2" fillId="0" borderId="12" xfId="2" applyFont="1" applyBorder="1" applyAlignment="1">
      <alignment horizontal="left" vertical="center" wrapText="1"/>
    </xf>
    <xf numFmtId="0" fontId="7" fillId="0" borderId="13" xfId="2" applyFont="1" applyBorder="1" applyAlignment="1">
      <alignment horizontal="left" vertical="center" wrapText="1"/>
    </xf>
    <xf numFmtId="0" fontId="13" fillId="0" borderId="13" xfId="2" applyFont="1" applyBorder="1" applyAlignment="1">
      <alignment horizontal="left" vertical="center" wrapText="1"/>
    </xf>
    <xf numFmtId="0" fontId="7" fillId="0" borderId="12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left" vertical="center" wrapText="1" indent="2"/>
    </xf>
    <xf numFmtId="0" fontId="2" fillId="0" borderId="4" xfId="2" applyFont="1" applyBorder="1" applyAlignment="1">
      <alignment horizontal="right" vertical="center" wrapText="1"/>
    </xf>
    <xf numFmtId="0" fontId="2" fillId="0" borderId="6" xfId="2" applyFont="1" applyBorder="1" applyAlignment="1">
      <alignment horizontal="left" vertical="center" wrapText="1"/>
    </xf>
    <xf numFmtId="0" fontId="2" fillId="0" borderId="14" xfId="2" applyFont="1" applyBorder="1" applyAlignment="1">
      <alignment horizontal="center" vertical="center" wrapText="1"/>
    </xf>
    <xf numFmtId="0" fontId="2" fillId="0" borderId="14" xfId="2" applyFont="1" applyBorder="1" applyAlignment="1">
      <alignment horizontal="left" vertical="center" wrapText="1" indent="1"/>
    </xf>
    <xf numFmtId="0" fontId="6" fillId="0" borderId="14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center" vertical="center" wrapText="1"/>
    </xf>
    <xf numFmtId="0" fontId="5" fillId="0" borderId="11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center" vertical="center" wrapText="1"/>
    </xf>
    <xf numFmtId="0" fontId="8" fillId="0" borderId="11" xfId="2" applyFont="1" applyBorder="1" applyAlignment="1">
      <alignment horizontal="left" vertical="center" wrapText="1"/>
    </xf>
    <xf numFmtId="0" fontId="8" fillId="0" borderId="9" xfId="2" applyFont="1" applyBorder="1" applyAlignment="1">
      <alignment horizontal="left" vertical="center" wrapText="1"/>
    </xf>
    <xf numFmtId="0" fontId="1" fillId="0" borderId="9" xfId="2" applyFont="1" applyBorder="1" applyAlignment="1">
      <alignment horizontal="left" vertical="center" wrapText="1" indent="2"/>
    </xf>
    <xf numFmtId="0" fontId="1" fillId="0" borderId="9" xfId="2" applyFont="1" applyBorder="1" applyAlignment="1">
      <alignment horizontal="left" vertical="center" wrapText="1" indent="15"/>
    </xf>
    <xf numFmtId="0" fontId="1" fillId="0" borderId="6" xfId="2" applyFont="1" applyBorder="1" applyAlignment="1">
      <alignment horizontal="left" vertical="center" wrapText="1"/>
    </xf>
    <xf numFmtId="0" fontId="1" fillId="0" borderId="14" xfId="2" applyFont="1" applyBorder="1" applyAlignment="1">
      <alignment horizontal="right" vertical="center" wrapText="1"/>
    </xf>
    <xf numFmtId="0" fontId="1" fillId="0" borderId="14" xfId="2" applyFont="1" applyBorder="1" applyAlignment="1">
      <alignment horizontal="center" vertical="center" wrapText="1"/>
    </xf>
    <xf numFmtId="0" fontId="5" fillId="0" borderId="14" xfId="2" applyFont="1" applyBorder="1" applyAlignment="1">
      <alignment horizontal="center" vertical="center" wrapText="1"/>
    </xf>
    <xf numFmtId="0" fontId="1" fillId="0" borderId="6" xfId="2" applyFont="1" applyBorder="1" applyAlignment="1">
      <alignment horizontal="center" vertical="center" wrapText="1"/>
    </xf>
    <xf numFmtId="0" fontId="11" fillId="0" borderId="18" xfId="2" applyFont="1" applyBorder="1" applyAlignment="1">
      <alignment horizontal="left" vertical="center" wrapText="1"/>
    </xf>
    <xf numFmtId="0" fontId="11" fillId="0" borderId="9" xfId="2" applyFont="1" applyBorder="1" applyAlignment="1">
      <alignment horizontal="left" vertical="center" wrapText="1"/>
    </xf>
    <xf numFmtId="0" fontId="11" fillId="0" borderId="11" xfId="2" applyFont="1" applyBorder="1" applyAlignment="1">
      <alignment horizontal="left" vertical="center" wrapText="1" indent="1"/>
    </xf>
    <xf numFmtId="0" fontId="11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left" vertical="center" wrapText="1" indent="2"/>
    </xf>
    <xf numFmtId="0" fontId="12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right" vertical="center" wrapText="1"/>
    </xf>
    <xf numFmtId="0" fontId="11" fillId="0" borderId="9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left" vertical="center" wrapText="1"/>
    </xf>
    <xf numFmtId="0" fontId="11" fillId="0" borderId="14" xfId="2" applyFont="1" applyBorder="1" applyAlignment="1">
      <alignment horizontal="left" vertical="center" wrapText="1" indent="1"/>
    </xf>
    <xf numFmtId="0" fontId="11" fillId="0" borderId="14" xfId="2" applyFont="1" applyBorder="1" applyAlignment="1">
      <alignment horizontal="center" vertical="center" wrapText="1"/>
    </xf>
    <xf numFmtId="0" fontId="11" fillId="0" borderId="14" xfId="2" applyFont="1" applyBorder="1" applyAlignment="1">
      <alignment horizontal="right" vertical="center" wrapText="1"/>
    </xf>
    <xf numFmtId="0" fontId="11" fillId="0" borderId="14" xfId="2" applyFont="1" applyBorder="1" applyAlignment="1">
      <alignment horizontal="left" vertical="center" wrapText="1" indent="2"/>
    </xf>
    <xf numFmtId="0" fontId="12" fillId="0" borderId="14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1" fillId="0" borderId="12" xfId="2" applyFont="1" applyBorder="1" applyAlignment="1">
      <alignment horizontal="left" vertical="center" wrapText="1"/>
    </xf>
    <xf numFmtId="0" fontId="10" fillId="0" borderId="13" xfId="2" applyFont="1" applyBorder="1" applyAlignment="1">
      <alignment horizontal="left" vertical="center" wrapText="1"/>
    </xf>
    <xf numFmtId="0" fontId="17" fillId="0" borderId="13" xfId="2" applyFont="1" applyBorder="1" applyAlignment="1">
      <alignment horizontal="left" vertical="center" wrapText="1"/>
    </xf>
    <xf numFmtId="0" fontId="10" fillId="0" borderId="12" xfId="2" applyFont="1" applyBorder="1" applyAlignment="1">
      <alignment horizontal="left" vertical="center" wrapText="1"/>
    </xf>
    <xf numFmtId="0" fontId="11" fillId="0" borderId="4" xfId="2" applyFont="1" applyBorder="1" applyAlignment="1">
      <alignment horizontal="center" vertical="center" wrapText="1"/>
    </xf>
    <xf numFmtId="0" fontId="5" fillId="0" borderId="5" xfId="2" applyFont="1" applyBorder="1" applyAlignment="1">
      <alignment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16" xfId="2" applyFont="1" applyBorder="1" applyAlignment="1">
      <alignment vertical="center" wrapText="1"/>
    </xf>
    <xf numFmtId="0" fontId="1" fillId="0" borderId="11" xfId="2" applyFont="1" applyBorder="1" applyAlignment="1">
      <alignment horizontal="left" vertical="center" wrapText="1" indent="1"/>
    </xf>
    <xf numFmtId="0" fontId="1" fillId="0" borderId="20" xfId="2" applyFont="1" applyBorder="1" applyAlignment="1">
      <alignment vertical="center" wrapText="1"/>
    </xf>
    <xf numFmtId="0" fontId="1" fillId="0" borderId="10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left" vertical="center" wrapText="1" indent="2"/>
    </xf>
    <xf numFmtId="0" fontId="1" fillId="0" borderId="25" xfId="2" applyFont="1" applyBorder="1" applyAlignment="1">
      <alignment vertical="center" wrapText="1"/>
    </xf>
    <xf numFmtId="0" fontId="1" fillId="0" borderId="26" xfId="2" applyFont="1" applyBorder="1" applyAlignment="1">
      <alignment vertical="center" wrapText="1"/>
    </xf>
    <xf numFmtId="0" fontId="1" fillId="0" borderId="4" xfId="2" applyFont="1" applyBorder="1" applyAlignment="1">
      <alignment horizontal="center" vertical="center" wrapText="1"/>
    </xf>
    <xf numFmtId="0" fontId="1" fillId="0" borderId="27" xfId="2" applyFont="1" applyBorder="1" applyAlignment="1">
      <alignment vertical="center" wrapText="1"/>
    </xf>
    <xf numFmtId="0" fontId="1" fillId="0" borderId="14" xfId="2" applyFont="1" applyBorder="1" applyAlignment="1">
      <alignment horizontal="left" vertical="center" wrapText="1" indent="1"/>
    </xf>
    <xf numFmtId="0" fontId="13" fillId="0" borderId="0" xfId="2" applyFont="1" applyAlignment="1">
      <alignment horizontal="left" vertical="center" indent="9"/>
    </xf>
    <xf numFmtId="0" fontId="7" fillId="0" borderId="0" xfId="2" applyFont="1" applyAlignment="1">
      <alignment horizontal="right" vertical="center"/>
    </xf>
    <xf numFmtId="0" fontId="7" fillId="0" borderId="2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left" vertical="center" wrapText="1" indent="1"/>
    </xf>
    <xf numFmtId="0" fontId="15" fillId="0" borderId="1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6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right" vertical="center" wrapText="1"/>
    </xf>
    <xf numFmtId="0" fontId="7" fillId="0" borderId="9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right" vertical="center" wrapText="1"/>
    </xf>
    <xf numFmtId="0" fontId="7" fillId="0" borderId="0" xfId="2" applyFont="1" applyAlignment="1">
      <alignment horizontal="left" vertical="center" indent="15"/>
    </xf>
    <xf numFmtId="0" fontId="7" fillId="0" borderId="18" xfId="2" applyFont="1" applyBorder="1" applyAlignment="1">
      <alignment horizontal="left" vertical="center" wrapText="1"/>
    </xf>
    <xf numFmtId="0" fontId="7" fillId="0" borderId="9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left" vertical="center" wrapText="1" indent="2"/>
    </xf>
    <xf numFmtId="0" fontId="7" fillId="0" borderId="9" xfId="2" applyFont="1" applyBorder="1" applyAlignment="1">
      <alignment horizontal="left" vertical="center" wrapText="1" indent="15"/>
    </xf>
    <xf numFmtId="0" fontId="7" fillId="0" borderId="4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left" vertical="center" wrapText="1" indent="2"/>
    </xf>
    <xf numFmtId="0" fontId="16" fillId="0" borderId="13" xfId="2" applyFont="1" applyBorder="1" applyAlignment="1">
      <alignment horizontal="left" vertical="center" wrapText="1"/>
    </xf>
    <xf numFmtId="0" fontId="15" fillId="0" borderId="13" xfId="2" applyFont="1" applyBorder="1" applyAlignment="1">
      <alignment horizontal="left" vertical="center" wrapText="1"/>
    </xf>
    <xf numFmtId="0" fontId="16" fillId="0" borderId="12" xfId="2" applyFont="1" applyBorder="1" applyAlignment="1">
      <alignment horizontal="left" vertical="center" wrapText="1"/>
    </xf>
    <xf numFmtId="0" fontId="7" fillId="0" borderId="1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left" vertical="center" wrapText="1"/>
    </xf>
    <xf numFmtId="0" fontId="7" fillId="0" borderId="3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15" fillId="0" borderId="3" xfId="2" applyFont="1" applyBorder="1" applyAlignment="1">
      <alignment horizontal="left" vertical="center" wrapText="1"/>
    </xf>
    <xf numFmtId="0" fontId="9" fillId="0" borderId="13" xfId="2" applyFont="1" applyBorder="1" applyAlignment="1">
      <alignment horizontal="left" vertical="center" wrapText="1"/>
    </xf>
    <xf numFmtId="0" fontId="9" fillId="0" borderId="12" xfId="2" applyFont="1" applyBorder="1" applyAlignment="1">
      <alignment horizontal="left" vertical="center" wrapText="1"/>
    </xf>
    <xf numFmtId="0" fontId="24" fillId="0" borderId="6" xfId="2" applyBorder="1" applyAlignment="1">
      <alignment vertical="top" wrapText="1"/>
    </xf>
    <xf numFmtId="0" fontId="1" fillId="0" borderId="6" xfId="2" applyFont="1" applyBorder="1" applyAlignment="1">
      <alignment horizontal="right" vertical="center" wrapText="1"/>
    </xf>
    <xf numFmtId="0" fontId="10" fillId="0" borderId="5" xfId="2" applyFont="1" applyBorder="1" applyAlignment="1">
      <alignment horizontal="left" vertical="center" wrapText="1"/>
    </xf>
    <xf numFmtId="0" fontId="10" fillId="0" borderId="6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left" vertical="center" wrapText="1" indent="1"/>
    </xf>
    <xf numFmtId="0" fontId="10" fillId="0" borderId="6" xfId="2" applyFont="1" applyBorder="1" applyAlignment="1">
      <alignment horizontal="left" vertical="center" wrapText="1" indent="2"/>
    </xf>
    <xf numFmtId="0" fontId="10" fillId="0" borderId="6" xfId="2" applyFont="1" applyBorder="1" applyAlignment="1">
      <alignment horizontal="left" vertical="center" wrapText="1" indent="15"/>
    </xf>
    <xf numFmtId="0" fontId="10" fillId="0" borderId="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right" vertical="center" wrapText="1"/>
    </xf>
    <xf numFmtId="0" fontId="7" fillId="0" borderId="38" xfId="2" applyFont="1" applyBorder="1" applyAlignment="1">
      <alignment horizontal="center" vertical="center" wrapText="1"/>
    </xf>
    <xf numFmtId="0" fontId="7" fillId="0" borderId="39" xfId="2" applyFont="1" applyBorder="1" applyAlignment="1">
      <alignment horizontal="center" vertical="center" wrapText="1"/>
    </xf>
    <xf numFmtId="0" fontId="7" fillId="0" borderId="18" xfId="2" applyFont="1" applyBorder="1" applyAlignment="1">
      <alignment horizontal="center" vertical="center" wrapText="1"/>
    </xf>
    <xf numFmtId="0" fontId="16" fillId="0" borderId="3" xfId="2" applyFont="1" applyBorder="1" applyAlignment="1">
      <alignment horizontal="left" vertical="center" wrapText="1"/>
    </xf>
    <xf numFmtId="0" fontId="18" fillId="0" borderId="13" xfId="2" applyFont="1" applyBorder="1" applyAlignment="1">
      <alignment horizontal="left" vertical="center" wrapText="1"/>
    </xf>
    <xf numFmtId="0" fontId="19" fillId="0" borderId="13" xfId="2" applyFont="1" applyBorder="1" applyAlignment="1">
      <alignment horizontal="left" vertical="center" wrapText="1"/>
    </xf>
    <xf numFmtId="0" fontId="19" fillId="0" borderId="12" xfId="2" applyFont="1" applyBorder="1" applyAlignment="1">
      <alignment horizontal="left" vertical="center" wrapText="1"/>
    </xf>
    <xf numFmtId="0" fontId="18" fillId="0" borderId="12" xfId="2" applyFont="1" applyBorder="1" applyAlignment="1">
      <alignment horizontal="left" vertical="center" wrapText="1"/>
    </xf>
    <xf numFmtId="0" fontId="3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5" fillId="0" borderId="0" xfId="2" applyFont="1" applyAlignment="1">
      <alignment horizontal="left" vertical="center" indent="12"/>
    </xf>
    <xf numFmtId="0" fontId="25" fillId="0" borderId="0" xfId="3"/>
    <xf numFmtId="0" fontId="1" fillId="0" borderId="0" xfId="2" applyFont="1" applyAlignment="1">
      <alignment horizontal="left" vertical="center" indent="15"/>
    </xf>
    <xf numFmtId="0" fontId="5" fillId="0" borderId="6" xfId="2" applyFont="1" applyBorder="1" applyAlignment="1">
      <alignment horizontal="center" vertical="center" wrapText="1"/>
    </xf>
    <xf numFmtId="0" fontId="20" fillId="0" borderId="14" xfId="2" applyFont="1" applyBorder="1" applyAlignment="1">
      <alignment horizontal="center" vertical="center" wrapText="1"/>
    </xf>
    <xf numFmtId="0" fontId="8" fillId="0" borderId="14" xfId="2" applyFont="1" applyBorder="1" applyAlignment="1">
      <alignment horizontal="center" vertical="center" wrapText="1"/>
    </xf>
    <xf numFmtId="0" fontId="8" fillId="0" borderId="6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right" vertical="center" wrapText="1"/>
    </xf>
    <xf numFmtId="0" fontId="1" fillId="0" borderId="12" xfId="2" applyFont="1" applyBorder="1" applyAlignment="1">
      <alignment horizontal="left" vertical="center" wrapText="1"/>
    </xf>
    <xf numFmtId="0" fontId="11" fillId="0" borderId="13" xfId="2" applyFont="1" applyBorder="1" applyAlignment="1">
      <alignment horizontal="left" vertical="center" wrapText="1"/>
    </xf>
    <xf numFmtId="0" fontId="12" fillId="0" borderId="13" xfId="2" applyFont="1" applyBorder="1" applyAlignment="1">
      <alignment horizontal="left" vertical="center" wrapText="1"/>
    </xf>
    <xf numFmtId="0" fontId="1" fillId="0" borderId="4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left" vertical="center" wrapText="1"/>
    </xf>
    <xf numFmtId="0" fontId="8" fillId="0" borderId="20" xfId="2" applyFont="1" applyBorder="1" applyAlignment="1">
      <alignment vertical="center" wrapText="1"/>
    </xf>
    <xf numFmtId="0" fontId="8" fillId="0" borderId="21" xfId="2" applyFont="1" applyBorder="1" applyAlignment="1">
      <alignment vertical="center" wrapText="1"/>
    </xf>
    <xf numFmtId="0" fontId="8" fillId="0" borderId="23" xfId="2" applyFont="1" applyBorder="1" applyAlignment="1">
      <alignment vertical="center" wrapText="1"/>
    </xf>
    <xf numFmtId="0" fontId="8" fillId="0" borderId="24" xfId="2" applyFont="1" applyBorder="1" applyAlignment="1">
      <alignment vertical="center" wrapText="1"/>
    </xf>
    <xf numFmtId="0" fontId="8" fillId="0" borderId="22" xfId="2" applyFont="1" applyBorder="1" applyAlignment="1">
      <alignment vertical="center" wrapText="1"/>
    </xf>
    <xf numFmtId="0" fontId="8" fillId="0" borderId="16" xfId="2" applyFont="1" applyBorder="1" applyAlignment="1">
      <alignment vertical="center" wrapText="1"/>
    </xf>
    <xf numFmtId="0" fontId="8" fillId="0" borderId="17" xfId="2" applyFont="1" applyBorder="1" applyAlignment="1">
      <alignment vertical="center" wrapText="1"/>
    </xf>
    <xf numFmtId="0" fontId="8" fillId="0" borderId="18" xfId="2" applyFont="1" applyBorder="1" applyAlignment="1">
      <alignment vertical="center" wrapText="1"/>
    </xf>
    <xf numFmtId="0" fontId="7" fillId="0" borderId="14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left" vertical="center" wrapText="1" indent="1"/>
    </xf>
    <xf numFmtId="0" fontId="13" fillId="0" borderId="14" xfId="2" applyFont="1" applyBorder="1" applyAlignment="1">
      <alignment horizontal="center" vertical="center" wrapText="1"/>
    </xf>
    <xf numFmtId="0" fontId="7" fillId="0" borderId="11" xfId="2" applyFont="1" applyBorder="1" applyAlignment="1">
      <alignment horizontal="right" vertical="center" wrapText="1"/>
    </xf>
    <xf numFmtId="0" fontId="7" fillId="0" borderId="11" xfId="2" applyFont="1" applyBorder="1" applyAlignment="1">
      <alignment horizontal="left" vertical="center" wrapText="1"/>
    </xf>
    <xf numFmtId="0" fontId="13" fillId="0" borderId="11" xfId="2" applyFont="1" applyBorder="1" applyAlignment="1">
      <alignment horizontal="center" vertical="center" wrapText="1"/>
    </xf>
    <xf numFmtId="0" fontId="7" fillId="0" borderId="14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left" vertical="center" wrapText="1" indent="1"/>
    </xf>
    <xf numFmtId="0" fontId="7" fillId="0" borderId="14" xfId="2" applyFont="1" applyBorder="1" applyAlignment="1">
      <alignment horizontal="left" vertical="center" wrapText="1" indent="2"/>
    </xf>
    <xf numFmtId="0" fontId="23" fillId="0" borderId="13" xfId="2" applyFont="1" applyBorder="1" applyAlignment="1">
      <alignment horizontal="left" vertical="center" wrapText="1"/>
    </xf>
    <xf numFmtId="0" fontId="11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13" fillId="0" borderId="0" xfId="2" applyFont="1" applyAlignment="1">
      <alignment horizontal="left" vertical="center" indent="2"/>
    </xf>
    <xf numFmtId="0" fontId="1" fillId="0" borderId="0" xfId="2" applyFont="1" applyAlignment="1">
      <alignment horizontal="right" vertical="center"/>
    </xf>
    <xf numFmtId="0" fontId="3" fillId="0" borderId="4" xfId="2" applyFont="1" applyBorder="1" applyAlignment="1">
      <alignment horizontal="left" vertical="center" wrapText="1"/>
    </xf>
    <xf numFmtId="0" fontId="10" fillId="0" borderId="0" xfId="2" applyFont="1" applyAlignment="1">
      <alignment horizontal="left" vertical="center" indent="15"/>
    </xf>
    <xf numFmtId="0" fontId="10" fillId="0" borderId="14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left" vertical="center" wrapText="1" indent="1"/>
    </xf>
    <xf numFmtId="0" fontId="7" fillId="0" borderId="3" xfId="2" applyFont="1" applyBorder="1" applyAlignment="1">
      <alignment horizontal="left" vertical="center" wrapText="1" indent="1"/>
    </xf>
    <xf numFmtId="0" fontId="24" fillId="0" borderId="8" xfId="2" applyBorder="1" applyAlignment="1">
      <alignment vertical="top" wrapText="1"/>
    </xf>
    <xf numFmtId="0" fontId="7" fillId="0" borderId="9" xfId="2" applyFont="1" applyBorder="1" applyAlignment="1">
      <alignment horizontal="left" vertical="center" wrapText="1" indent="3"/>
    </xf>
    <xf numFmtId="10" fontId="7" fillId="0" borderId="0" xfId="1" applyNumberFormat="1" applyFont="1" applyFill="1"/>
    <xf numFmtId="0" fontId="7" fillId="0" borderId="0" xfId="0" applyFont="1" applyAlignment="1">
      <alignment wrapText="1"/>
    </xf>
    <xf numFmtId="0" fontId="7" fillId="0" borderId="0" xfId="0" applyFont="1" applyAlignment="1">
      <alignment horizontal="center" wrapText="1"/>
    </xf>
    <xf numFmtId="0" fontId="7" fillId="0" borderId="64" xfId="0" applyFont="1" applyBorder="1"/>
    <xf numFmtId="0" fontId="7" fillId="6" borderId="0" xfId="0" applyFont="1" applyFill="1"/>
    <xf numFmtId="0" fontId="7" fillId="7" borderId="0" xfId="0" applyFont="1" applyFill="1"/>
    <xf numFmtId="0" fontId="7" fillId="8" borderId="0" xfId="0" applyFont="1" applyFill="1"/>
    <xf numFmtId="0" fontId="7" fillId="6" borderId="65" xfId="0" applyFont="1" applyFill="1" applyBorder="1"/>
    <xf numFmtId="0" fontId="7" fillId="6" borderId="66" xfId="0" applyFont="1" applyFill="1" applyBorder="1"/>
    <xf numFmtId="0" fontId="7" fillId="8" borderId="65" xfId="0" applyFont="1" applyFill="1" applyBorder="1"/>
    <xf numFmtId="0" fontId="7" fillId="8" borderId="66" xfId="0" applyFont="1" applyFill="1" applyBorder="1"/>
    <xf numFmtId="0" fontId="7" fillId="8" borderId="67" xfId="0" applyFont="1" applyFill="1" applyBorder="1"/>
    <xf numFmtId="0" fontId="7" fillId="6" borderId="64" xfId="0" applyFont="1" applyFill="1" applyBorder="1"/>
    <xf numFmtId="0" fontId="7" fillId="6" borderId="67" xfId="0" applyFont="1" applyFill="1" applyBorder="1"/>
    <xf numFmtId="0" fontId="7" fillId="8" borderId="64" xfId="0" applyFont="1" applyFill="1" applyBorder="1"/>
    <xf numFmtId="0" fontId="7" fillId="6" borderId="68" xfId="0" applyFont="1" applyFill="1" applyBorder="1"/>
    <xf numFmtId="0" fontId="7" fillId="6" borderId="69" xfId="0" applyFont="1" applyFill="1" applyBorder="1"/>
    <xf numFmtId="0" fontId="7" fillId="8" borderId="68" xfId="0" applyFont="1" applyFill="1" applyBorder="1"/>
    <xf numFmtId="0" fontId="7" fillId="8" borderId="69" xfId="0" applyFont="1" applyFill="1" applyBorder="1"/>
    <xf numFmtId="10" fontId="7" fillId="0" borderId="0" xfId="1" applyNumberFormat="1" applyFont="1" applyFill="1" applyBorder="1"/>
    <xf numFmtId="0" fontId="26" fillId="6" borderId="0" xfId="0" applyFont="1" applyFill="1"/>
    <xf numFmtId="0" fontId="26" fillId="8" borderId="67" xfId="0" applyFont="1" applyFill="1" applyBorder="1"/>
    <xf numFmtId="0" fontId="7" fillId="0" borderId="70" xfId="0" applyFont="1" applyBorder="1"/>
    <xf numFmtId="0" fontId="7" fillId="0" borderId="69" xfId="0" applyFont="1" applyBorder="1"/>
    <xf numFmtId="0" fontId="7" fillId="0" borderId="65" xfId="0" applyFont="1" applyBorder="1"/>
    <xf numFmtId="0" fontId="7" fillId="7" borderId="71" xfId="0" applyFont="1" applyFill="1" applyBorder="1"/>
    <xf numFmtId="0" fontId="7" fillId="8" borderId="71" xfId="0" applyFont="1" applyFill="1" applyBorder="1"/>
    <xf numFmtId="164" fontId="7" fillId="0" borderId="0" xfId="0" applyNumberFormat="1" applyFont="1"/>
    <xf numFmtId="0" fontId="7" fillId="9" borderId="65" xfId="0" applyFont="1" applyFill="1" applyBorder="1"/>
    <xf numFmtId="0" fontId="7" fillId="9" borderId="66" xfId="0" applyFont="1" applyFill="1" applyBorder="1"/>
    <xf numFmtId="0" fontId="7" fillId="9" borderId="0" xfId="0" applyFont="1" applyFill="1"/>
    <xf numFmtId="0" fontId="7" fillId="9" borderId="64" xfId="0" applyFont="1" applyFill="1" applyBorder="1"/>
    <xf numFmtId="0" fontId="7" fillId="9" borderId="67" xfId="0" applyFont="1" applyFill="1" applyBorder="1"/>
    <xf numFmtId="10" fontId="7" fillId="0" borderId="0" xfId="0" applyNumberFormat="1" applyFont="1"/>
    <xf numFmtId="0" fontId="7" fillId="9" borderId="68" xfId="0" applyFont="1" applyFill="1" applyBorder="1"/>
    <xf numFmtId="0" fontId="7" fillId="9" borderId="69" xfId="0" applyFont="1" applyFill="1" applyBorder="1"/>
    <xf numFmtId="9" fontId="7" fillId="0" borderId="0" xfId="0" applyNumberFormat="1" applyFont="1"/>
    <xf numFmtId="0" fontId="26" fillId="9" borderId="0" xfId="0" applyFont="1" applyFill="1"/>
    <xf numFmtId="0" fontId="7" fillId="0" borderId="68" xfId="0" applyFont="1" applyBorder="1"/>
    <xf numFmtId="0" fontId="7" fillId="0" borderId="67" xfId="0" applyFont="1" applyBorder="1"/>
    <xf numFmtId="0" fontId="27" fillId="10" borderId="71" xfId="0" applyFont="1" applyFill="1" applyBorder="1"/>
    <xf numFmtId="0" fontId="27" fillId="6" borderId="71" xfId="0" applyFont="1" applyFill="1" applyBorder="1"/>
    <xf numFmtId="0" fontId="7" fillId="0" borderId="66" xfId="0" applyFont="1" applyBorder="1"/>
    <xf numFmtId="0" fontId="27" fillId="0" borderId="0" xfId="0" applyFont="1"/>
    <xf numFmtId="0" fontId="7" fillId="11" borderId="0" xfId="0" applyFont="1" applyFill="1"/>
    <xf numFmtId="0" fontId="27" fillId="0" borderId="0" xfId="0" quotePrefix="1" applyFont="1"/>
    <xf numFmtId="0" fontId="26" fillId="9" borderId="70" xfId="0" applyFont="1" applyFill="1" applyBorder="1"/>
    <xf numFmtId="0" fontId="26" fillId="6" borderId="67" xfId="0" applyFont="1" applyFill="1" applyBorder="1"/>
    <xf numFmtId="165" fontId="7" fillId="6" borderId="64" xfId="0" applyNumberFormat="1" applyFont="1" applyFill="1" applyBorder="1"/>
    <xf numFmtId="0" fontId="7" fillId="0" borderId="71" xfId="0" applyFont="1" applyBorder="1"/>
    <xf numFmtId="164" fontId="7" fillId="6" borderId="64" xfId="0" applyNumberFormat="1" applyFont="1" applyFill="1" applyBorder="1"/>
    <xf numFmtId="0" fontId="26" fillId="0" borderId="0" xfId="0" applyFont="1"/>
    <xf numFmtId="10" fontId="7" fillId="0" borderId="0" xfId="1" applyNumberFormat="1" applyFont="1"/>
    <xf numFmtId="166" fontId="7" fillId="9" borderId="64" xfId="0" applyNumberFormat="1" applyFont="1" applyFill="1" applyBorder="1"/>
    <xf numFmtId="0" fontId="27" fillId="9" borderId="71" xfId="0" applyFont="1" applyFill="1" applyBorder="1"/>
    <xf numFmtId="0" fontId="7" fillId="12" borderId="0" xfId="0" applyFont="1" applyFill="1"/>
    <xf numFmtId="165" fontId="7" fillId="12" borderId="0" xfId="0" applyNumberFormat="1" applyFont="1" applyFill="1"/>
    <xf numFmtId="165" fontId="7" fillId="9" borderId="64" xfId="0" applyNumberFormat="1" applyFont="1" applyFill="1" applyBorder="1"/>
    <xf numFmtId="0" fontId="28" fillId="0" borderId="0" xfId="0" applyFont="1" applyAlignment="1">
      <alignment horizontal="center" vertical="center" readingOrder="1"/>
    </xf>
    <xf numFmtId="0" fontId="26" fillId="9" borderId="67" xfId="0" applyFont="1" applyFill="1" applyBorder="1"/>
    <xf numFmtId="0" fontId="0" fillId="2" borderId="47" xfId="0" applyFill="1" applyBorder="1" applyAlignment="1">
      <alignment horizontal="center"/>
    </xf>
    <xf numFmtId="0" fontId="0" fillId="2" borderId="51" xfId="0" applyFill="1" applyBorder="1" applyAlignment="1">
      <alignment horizontal="center"/>
    </xf>
    <xf numFmtId="0" fontId="7" fillId="0" borderId="56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62" xfId="0" applyFont="1" applyBorder="1" applyAlignment="1">
      <alignment horizontal="center"/>
    </xf>
    <xf numFmtId="0" fontId="7" fillId="0" borderId="57" xfId="0" applyFont="1" applyBorder="1" applyAlignment="1">
      <alignment horizontal="center" vertical="center"/>
    </xf>
    <xf numFmtId="0" fontId="7" fillId="0" borderId="58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0" fillId="3" borderId="50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4" borderId="48" xfId="0" applyFont="1" applyFill="1" applyBorder="1" applyAlignment="1">
      <alignment horizontal="center"/>
    </xf>
    <xf numFmtId="0" fontId="0" fillId="4" borderId="52" xfId="0" applyFont="1" applyFill="1" applyBorder="1" applyAlignment="1">
      <alignment horizontal="center"/>
    </xf>
    <xf numFmtId="0" fontId="7" fillId="0" borderId="5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0" fillId="5" borderId="50" xfId="0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7" fillId="0" borderId="19" xfId="2" applyFont="1" applyBorder="1" applyAlignment="1">
      <alignment horizontal="center" vertical="center" wrapText="1"/>
    </xf>
    <xf numFmtId="0" fontId="7" fillId="0" borderId="4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3" xfId="2" applyFont="1" applyBorder="1" applyAlignment="1">
      <alignment horizontal="center" vertical="center" wrapText="1"/>
    </xf>
    <xf numFmtId="0" fontId="7" fillId="0" borderId="19" xfId="2" applyFont="1" applyBorder="1" applyAlignment="1">
      <alignment horizontal="left" vertical="center" wrapText="1" indent="1"/>
    </xf>
    <xf numFmtId="0" fontId="7" fillId="0" borderId="8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7" fillId="0" borderId="2" xfId="2" applyFont="1" applyBorder="1" applyAlignment="1">
      <alignment horizontal="left" vertical="center" wrapText="1" indent="1"/>
    </xf>
    <xf numFmtId="0" fontId="7" fillId="0" borderId="19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left" vertical="center" wrapText="1"/>
    </xf>
    <xf numFmtId="0" fontId="10" fillId="0" borderId="2" xfId="2" applyFont="1" applyBorder="1" applyAlignment="1">
      <alignment horizontal="center" vertical="center" wrapText="1"/>
    </xf>
    <xf numFmtId="0" fontId="10" fillId="0" borderId="4" xfId="2" applyFont="1" applyBorder="1" applyAlignment="1">
      <alignment horizontal="center" vertical="center" wrapText="1"/>
    </xf>
    <xf numFmtId="0" fontId="10" fillId="0" borderId="29" xfId="2" applyFont="1" applyBorder="1" applyAlignment="1">
      <alignment horizontal="center" vertical="center" wrapText="1"/>
    </xf>
    <xf numFmtId="0" fontId="10" fillId="0" borderId="30" xfId="2" applyFont="1" applyBorder="1" applyAlignment="1">
      <alignment horizontal="center" vertical="center" wrapText="1"/>
    </xf>
    <xf numFmtId="0" fontId="13" fillId="0" borderId="15" xfId="2" applyFont="1" applyBorder="1" applyAlignment="1">
      <alignment horizontal="left" vertical="center" wrapText="1" indent="5"/>
    </xf>
    <xf numFmtId="0" fontId="13" fillId="0" borderId="7" xfId="2" applyFont="1" applyBorder="1" applyAlignment="1">
      <alignment horizontal="left" vertical="center" wrapText="1" indent="5"/>
    </xf>
    <xf numFmtId="0" fontId="13" fillId="0" borderId="5" xfId="2" applyFont="1" applyBorder="1" applyAlignment="1">
      <alignment horizontal="left" vertical="center" wrapText="1" indent="5"/>
    </xf>
    <xf numFmtId="0" fontId="10" fillId="0" borderId="2" xfId="2" applyFont="1" applyBorder="1" applyAlignment="1">
      <alignment horizontal="left" vertical="center" wrapText="1" indent="1"/>
    </xf>
    <xf numFmtId="0" fontId="10" fillId="0" borderId="3" xfId="2" applyFont="1" applyBorder="1" applyAlignment="1">
      <alignment horizontal="left" vertical="center" wrapText="1" indent="1"/>
    </xf>
    <xf numFmtId="0" fontId="10" fillId="0" borderId="4" xfId="2" applyFont="1" applyBorder="1" applyAlignment="1">
      <alignment horizontal="left" vertical="center" wrapText="1" indent="1"/>
    </xf>
    <xf numFmtId="0" fontId="3" fillId="0" borderId="15" xfId="2" applyFont="1" applyBorder="1" applyAlignment="1">
      <alignment horizontal="left" vertical="center" wrapText="1"/>
    </xf>
    <xf numFmtId="0" fontId="3" fillId="0" borderId="7" xfId="2" applyFont="1" applyBorder="1" applyAlignment="1">
      <alignment horizontal="left" vertical="center" wrapText="1"/>
    </xf>
    <xf numFmtId="0" fontId="3" fillId="0" borderId="5" xfId="2" applyFont="1" applyBorder="1" applyAlignment="1">
      <alignment horizontal="left" vertical="center" wrapText="1"/>
    </xf>
    <xf numFmtId="0" fontId="17" fillId="0" borderId="15" xfId="2" applyFont="1" applyBorder="1" applyAlignment="1">
      <alignment horizontal="left" vertical="center" wrapText="1" indent="5"/>
    </xf>
    <xf numFmtId="0" fontId="17" fillId="0" borderId="7" xfId="2" applyFont="1" applyBorder="1" applyAlignment="1">
      <alignment horizontal="left" vertical="center" wrapText="1" indent="5"/>
    </xf>
    <xf numFmtId="0" fontId="17" fillId="0" borderId="5" xfId="2" applyFont="1" applyBorder="1" applyAlignment="1">
      <alignment horizontal="left" vertical="center" wrapText="1" indent="5"/>
    </xf>
    <xf numFmtId="0" fontId="7" fillId="0" borderId="3" xfId="2" applyFont="1" applyBorder="1" applyAlignment="1">
      <alignment horizontal="left" vertical="center" wrapText="1" indent="1"/>
    </xf>
    <xf numFmtId="0" fontId="8" fillId="0" borderId="15" xfId="2" applyFont="1" applyBorder="1" applyAlignment="1">
      <alignment horizontal="left" vertical="center" wrapText="1"/>
    </xf>
    <xf numFmtId="0" fontId="8" fillId="0" borderId="7" xfId="2" applyFont="1" applyBorder="1" applyAlignment="1">
      <alignment horizontal="left" vertical="center" wrapText="1"/>
    </xf>
    <xf numFmtId="0" fontId="8" fillId="0" borderId="5" xfId="2" applyFont="1" applyBorder="1" applyAlignment="1">
      <alignment horizontal="left" vertical="center" wrapText="1"/>
    </xf>
    <xf numFmtId="0" fontId="3" fillId="0" borderId="27" xfId="2" applyFont="1" applyBorder="1" applyAlignment="1">
      <alignment horizontal="left" vertical="center" wrapText="1"/>
    </xf>
    <xf numFmtId="0" fontId="3" fillId="0" borderId="35" xfId="2" applyFont="1" applyBorder="1" applyAlignment="1">
      <alignment horizontal="left" vertical="center" wrapText="1"/>
    </xf>
    <xf numFmtId="0" fontId="3" fillId="0" borderId="28" xfId="2" applyFont="1" applyBorder="1" applyAlignment="1">
      <alignment horizontal="left" vertical="center" wrapText="1"/>
    </xf>
    <xf numFmtId="0" fontId="3" fillId="0" borderId="20" xfId="2" applyFont="1" applyBorder="1" applyAlignment="1">
      <alignment horizontal="left" vertical="center" wrapText="1"/>
    </xf>
    <xf numFmtId="0" fontId="3" fillId="0" borderId="21" xfId="2" applyFont="1" applyBorder="1" applyAlignment="1">
      <alignment horizontal="left" vertical="center" wrapText="1"/>
    </xf>
    <xf numFmtId="0" fontId="3" fillId="0" borderId="22" xfId="2" applyFont="1" applyBorder="1" applyAlignment="1">
      <alignment horizontal="left" vertical="center" wrapText="1"/>
    </xf>
    <xf numFmtId="0" fontId="3" fillId="0" borderId="16" xfId="2" applyFont="1" applyBorder="1" applyAlignment="1">
      <alignment horizontal="left" vertical="center" wrapText="1"/>
    </xf>
    <xf numFmtId="0" fontId="3" fillId="0" borderId="17" xfId="2" applyFont="1" applyBorder="1" applyAlignment="1">
      <alignment horizontal="left" vertical="center" wrapText="1"/>
    </xf>
    <xf numFmtId="0" fontId="3" fillId="0" borderId="18" xfId="2" applyFont="1" applyBorder="1" applyAlignment="1">
      <alignment horizontal="left" vertical="center" wrapText="1"/>
    </xf>
    <xf numFmtId="0" fontId="7" fillId="0" borderId="15" xfId="2" applyFont="1" applyBorder="1" applyAlignment="1">
      <alignment horizontal="center" vertical="center" wrapText="1"/>
    </xf>
    <xf numFmtId="0" fontId="7" fillId="0" borderId="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righ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29" xfId="2" applyFont="1" applyBorder="1" applyAlignment="1">
      <alignment horizontal="center" vertical="center" wrapText="1"/>
    </xf>
    <xf numFmtId="0" fontId="7" fillId="0" borderId="30" xfId="2" applyFont="1" applyBorder="1" applyAlignment="1">
      <alignment horizontal="center" vertical="center" wrapText="1"/>
    </xf>
    <xf numFmtId="0" fontId="7" fillId="0" borderId="31" xfId="2" applyFont="1" applyBorder="1" applyAlignment="1">
      <alignment horizontal="center" vertical="center" wrapText="1"/>
    </xf>
    <xf numFmtId="0" fontId="7" fillId="0" borderId="32" xfId="2" applyFont="1" applyBorder="1" applyAlignment="1">
      <alignment horizontal="center" vertical="center" wrapText="1"/>
    </xf>
    <xf numFmtId="0" fontId="7" fillId="0" borderId="33" xfId="2" applyFont="1" applyBorder="1" applyAlignment="1">
      <alignment horizontal="center" vertical="center" wrapText="1"/>
    </xf>
    <xf numFmtId="0" fontId="7" fillId="0" borderId="34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3"/>
    </xf>
    <xf numFmtId="0" fontId="7" fillId="0" borderId="7" xfId="2" applyFont="1" applyBorder="1" applyAlignment="1">
      <alignment horizontal="left" vertical="center" wrapText="1" indent="3"/>
    </xf>
    <xf numFmtId="0" fontId="7" fillId="0" borderId="5" xfId="2" applyFont="1" applyBorder="1" applyAlignment="1">
      <alignment horizontal="left" vertical="center" wrapText="1" indent="3"/>
    </xf>
    <xf numFmtId="0" fontId="7" fillId="0" borderId="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left" vertical="center" wrapText="1"/>
    </xf>
    <xf numFmtId="0" fontId="1" fillId="0" borderId="15" xfId="2" applyFont="1" applyBorder="1" applyAlignment="1">
      <alignment horizontal="left" vertical="center" wrapText="1" indent="7"/>
    </xf>
    <xf numFmtId="0" fontId="1" fillId="0" borderId="7" xfId="2" applyFont="1" applyBorder="1" applyAlignment="1">
      <alignment horizontal="left" vertical="center" wrapText="1" indent="7"/>
    </xf>
    <xf numFmtId="0" fontId="1" fillId="0" borderId="5" xfId="2" applyFont="1" applyBorder="1" applyAlignment="1">
      <alignment horizontal="left" vertical="center" wrapText="1" indent="7"/>
    </xf>
    <xf numFmtId="0" fontId="1" fillId="0" borderId="15" xfId="2" applyFont="1" applyBorder="1" applyAlignment="1">
      <alignment horizontal="center" vertical="center" wrapText="1"/>
    </xf>
    <xf numFmtId="0" fontId="1" fillId="0" borderId="7" xfId="2" applyFont="1" applyBorder="1" applyAlignment="1">
      <alignment horizontal="center" vertical="center" wrapText="1"/>
    </xf>
    <xf numFmtId="0" fontId="1" fillId="0" borderId="5" xfId="2" applyFont="1" applyBorder="1" applyAlignment="1">
      <alignment horizontal="center" vertical="center" wrapText="1"/>
    </xf>
    <xf numFmtId="0" fontId="7" fillId="0" borderId="36" xfId="2" applyFont="1" applyBorder="1" applyAlignment="1">
      <alignment horizontal="center" vertical="center" wrapText="1"/>
    </xf>
    <xf numFmtId="0" fontId="1" fillId="0" borderId="19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19" xfId="2" applyFont="1" applyBorder="1" applyAlignment="1">
      <alignment horizontal="left" vertical="center" wrapText="1" indent="1"/>
    </xf>
    <xf numFmtId="0" fontId="1" fillId="0" borderId="8" xfId="2" applyFont="1" applyBorder="1" applyAlignment="1">
      <alignment horizontal="left" vertical="center" wrapText="1" indent="1"/>
    </xf>
    <xf numFmtId="0" fontId="11" fillId="0" borderId="19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5" fillId="0" borderId="15" xfId="2" applyFont="1" applyBorder="1" applyAlignment="1">
      <alignment horizontal="center" vertical="center" wrapText="1"/>
    </xf>
    <xf numFmtId="0" fontId="5" fillId="0" borderId="7" xfId="2" applyFont="1" applyBorder="1" applyAlignment="1">
      <alignment horizontal="center" vertical="center" wrapText="1"/>
    </xf>
    <xf numFmtId="0" fontId="1" fillId="0" borderId="3" xfId="2" applyFont="1" applyBorder="1" applyAlignment="1">
      <alignment horizontal="left" vertical="center" wrapText="1" indent="1"/>
    </xf>
    <xf numFmtId="0" fontId="1" fillId="0" borderId="4" xfId="2" applyFont="1" applyBorder="1" applyAlignment="1">
      <alignment horizontal="left" vertical="center" wrapText="1" indent="1"/>
    </xf>
    <xf numFmtId="0" fontId="8" fillId="0" borderId="20" xfId="2" applyFont="1" applyBorder="1" applyAlignment="1">
      <alignment horizontal="left" vertical="center" wrapText="1"/>
    </xf>
    <xf numFmtId="0" fontId="8" fillId="0" borderId="21" xfId="2" applyFont="1" applyBorder="1" applyAlignment="1">
      <alignment horizontal="left" vertical="center" wrapText="1"/>
    </xf>
    <xf numFmtId="0" fontId="8" fillId="0" borderId="22" xfId="2" applyFont="1" applyBorder="1" applyAlignment="1">
      <alignment horizontal="left" vertical="center" wrapText="1"/>
    </xf>
    <xf numFmtId="0" fontId="11" fillId="0" borderId="2" xfId="2" applyFont="1" applyBorder="1" applyAlignment="1">
      <alignment horizontal="left" vertical="center" wrapText="1" indent="1"/>
    </xf>
    <xf numFmtId="0" fontId="11" fillId="0" borderId="3" xfId="2" applyFont="1" applyBorder="1" applyAlignment="1">
      <alignment horizontal="left" vertical="center" wrapText="1" indent="1"/>
    </xf>
    <xf numFmtId="0" fontId="11" fillId="0" borderId="4" xfId="2" applyFont="1" applyBorder="1" applyAlignment="1">
      <alignment horizontal="left" vertical="center" wrapText="1" indent="1"/>
    </xf>
    <xf numFmtId="0" fontId="8" fillId="0" borderId="16" xfId="2" applyFont="1" applyBorder="1" applyAlignment="1">
      <alignment horizontal="left" vertical="center" wrapText="1"/>
    </xf>
    <xf numFmtId="0" fontId="8" fillId="0" borderId="17" xfId="2" applyFont="1" applyBorder="1" applyAlignment="1">
      <alignment horizontal="left" vertical="center" wrapText="1"/>
    </xf>
    <xf numFmtId="0" fontId="8" fillId="0" borderId="18" xfId="2" applyFont="1" applyBorder="1" applyAlignment="1">
      <alignment horizontal="left" vertical="center" wrapText="1"/>
    </xf>
    <xf numFmtId="0" fontId="12" fillId="0" borderId="15" xfId="2" applyFont="1" applyBorder="1" applyAlignment="1">
      <alignment horizontal="center" vertical="center" wrapText="1"/>
    </xf>
    <xf numFmtId="0" fontId="12" fillId="0" borderId="7" xfId="2" applyFont="1" applyBorder="1" applyAlignment="1">
      <alignment horizontal="center" vertical="center" wrapText="1"/>
    </xf>
    <xf numFmtId="0" fontId="12" fillId="0" borderId="5" xfId="2" applyFont="1" applyBorder="1" applyAlignment="1">
      <alignment horizontal="center" vertical="center" wrapText="1"/>
    </xf>
    <xf numFmtId="0" fontId="8" fillId="0" borderId="23" xfId="2" applyFont="1" applyBorder="1" applyAlignment="1">
      <alignment horizontal="left" vertical="center" wrapText="1"/>
    </xf>
    <xf numFmtId="0" fontId="8" fillId="0" borderId="24" xfId="2" applyFont="1" applyBorder="1" applyAlignment="1">
      <alignment horizontal="left" vertical="center" wrapText="1"/>
    </xf>
    <xf numFmtId="0" fontId="2" fillId="0" borderId="19" xfId="2" applyFont="1" applyBorder="1" applyAlignment="1">
      <alignment horizontal="center" vertical="center" wrapText="1"/>
    </xf>
    <xf numFmtId="0" fontId="2" fillId="0" borderId="3" xfId="2" applyFont="1" applyBorder="1" applyAlignment="1">
      <alignment horizontal="center" vertical="center" wrapText="1"/>
    </xf>
    <xf numFmtId="0" fontId="2" fillId="0" borderId="4" xfId="2" applyFont="1" applyBorder="1" applyAlignment="1">
      <alignment horizontal="center" vertical="center" wrapText="1"/>
    </xf>
    <xf numFmtId="0" fontId="5" fillId="0" borderId="5" xfId="2" applyFont="1" applyBorder="1" applyAlignment="1">
      <alignment horizontal="center" vertical="center" wrapText="1"/>
    </xf>
    <xf numFmtId="0" fontId="1" fillId="0" borderId="2" xfId="2" applyFont="1" applyBorder="1" applyAlignment="1">
      <alignment horizontal="left" vertical="center" wrapText="1" indent="1"/>
    </xf>
    <xf numFmtId="0" fontId="4" fillId="0" borderId="16" xfId="2" applyFont="1" applyBorder="1" applyAlignment="1">
      <alignment horizontal="left" vertical="center" wrapText="1"/>
    </xf>
    <xf numFmtId="0" fontId="4" fillId="0" borderId="17" xfId="2" applyFont="1" applyBorder="1" applyAlignment="1">
      <alignment horizontal="left" vertical="center" wrapText="1"/>
    </xf>
    <xf numFmtId="0" fontId="4" fillId="0" borderId="18" xfId="2" applyFont="1" applyBorder="1" applyAlignment="1">
      <alignment horizontal="left" vertical="center" wrapText="1"/>
    </xf>
    <xf numFmtId="0" fontId="2" fillId="0" borderId="16" xfId="2" applyFont="1" applyBorder="1" applyAlignment="1">
      <alignment horizontal="center" vertical="center" wrapText="1"/>
    </xf>
    <xf numFmtId="0" fontId="2" fillId="0" borderId="17" xfId="2" applyFont="1" applyBorder="1" applyAlignment="1">
      <alignment horizontal="center" vertical="center" wrapText="1"/>
    </xf>
    <xf numFmtId="0" fontId="2" fillId="0" borderId="18" xfId="2" applyFont="1" applyBorder="1" applyAlignment="1">
      <alignment horizontal="center" vertical="center" wrapText="1"/>
    </xf>
    <xf numFmtId="0" fontId="2" fillId="0" borderId="19" xfId="2" applyFont="1" applyBorder="1" applyAlignment="1">
      <alignment horizontal="right" vertical="center" wrapText="1"/>
    </xf>
    <xf numFmtId="0" fontId="2" fillId="0" borderId="8" xfId="2" applyFont="1" applyBorder="1" applyAlignment="1">
      <alignment horizontal="right" vertical="center" wrapText="1"/>
    </xf>
    <xf numFmtId="0" fontId="6" fillId="0" borderId="15" xfId="2" applyFont="1" applyBorder="1" applyAlignment="1">
      <alignment horizontal="center" vertical="center" wrapText="1"/>
    </xf>
    <xf numFmtId="0" fontId="6" fillId="0" borderId="7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left" vertical="center" wrapText="1" indent="1"/>
    </xf>
    <xf numFmtId="0" fontId="2" fillId="0" borderId="3" xfId="2" applyFont="1" applyBorder="1" applyAlignment="1">
      <alignment horizontal="left" vertical="center" wrapText="1" indent="1"/>
    </xf>
    <xf numFmtId="0" fontId="2" fillId="0" borderId="4" xfId="2" applyFont="1" applyBorder="1" applyAlignment="1">
      <alignment horizontal="left" vertical="center" wrapText="1" indent="1"/>
    </xf>
    <xf numFmtId="0" fontId="3" fillId="0" borderId="15" xfId="2" applyFont="1" applyBorder="1" applyAlignment="1">
      <alignment horizontal="center" vertical="center" wrapText="1"/>
    </xf>
    <xf numFmtId="0" fontId="3" fillId="0" borderId="7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5"/>
    </xf>
    <xf numFmtId="0" fontId="3" fillId="0" borderId="7" xfId="2" applyFont="1" applyBorder="1" applyAlignment="1">
      <alignment horizontal="left" vertical="center" wrapText="1" indent="15"/>
    </xf>
    <xf numFmtId="0" fontId="3" fillId="0" borderId="5" xfId="2" applyFont="1" applyBorder="1" applyAlignment="1">
      <alignment horizontal="left" vertical="center" wrapText="1" indent="15"/>
    </xf>
    <xf numFmtId="0" fontId="3" fillId="0" borderId="15" xfId="2" applyFont="1" applyBorder="1" applyAlignment="1">
      <alignment horizontal="left" vertical="center" wrapText="1" indent="1"/>
    </xf>
    <xf numFmtId="0" fontId="3" fillId="0" borderId="5" xfId="2" applyFont="1" applyBorder="1" applyAlignment="1">
      <alignment horizontal="left" vertical="center" wrapText="1" indent="1"/>
    </xf>
    <xf numFmtId="0" fontId="7" fillId="0" borderId="19" xfId="2" applyFont="1" applyBorder="1" applyAlignment="1">
      <alignment horizontal="right" vertical="center" wrapText="1"/>
    </xf>
    <xf numFmtId="0" fontId="7" fillId="0" borderId="8" xfId="2" applyFont="1" applyBorder="1" applyAlignment="1">
      <alignment horizontal="right" vertical="center" wrapText="1"/>
    </xf>
    <xf numFmtId="0" fontId="1" fillId="0" borderId="15" xfId="2" applyFont="1" applyBorder="1" applyAlignment="1">
      <alignment horizontal="left" vertical="center" wrapText="1" indent="8"/>
    </xf>
    <xf numFmtId="0" fontId="1" fillId="0" borderId="7" xfId="2" applyFont="1" applyBorder="1" applyAlignment="1">
      <alignment horizontal="left" vertical="center" wrapText="1" indent="8"/>
    </xf>
    <xf numFmtId="0" fontId="1" fillId="0" borderId="5" xfId="2" applyFont="1" applyBorder="1" applyAlignment="1">
      <alignment horizontal="left" vertical="center" wrapText="1" indent="8"/>
    </xf>
    <xf numFmtId="0" fontId="10" fillId="0" borderId="3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4"/>
    </xf>
    <xf numFmtId="0" fontId="7" fillId="0" borderId="7" xfId="2" applyFont="1" applyBorder="1" applyAlignment="1">
      <alignment horizontal="left" vertical="center" wrapText="1" indent="4"/>
    </xf>
    <xf numFmtId="0" fontId="7" fillId="0" borderId="5" xfId="2" applyFont="1" applyBorder="1" applyAlignment="1">
      <alignment horizontal="left" vertical="center" wrapText="1" indent="4"/>
    </xf>
    <xf numFmtId="0" fontId="7" fillId="0" borderId="29" xfId="2" applyFont="1" applyBorder="1" applyAlignment="1">
      <alignment horizontal="right" vertical="center" wrapText="1"/>
    </xf>
    <xf numFmtId="0" fontId="7" fillId="0" borderId="30" xfId="2" applyFont="1" applyBorder="1" applyAlignment="1">
      <alignment horizontal="right" vertical="center" wrapText="1"/>
    </xf>
    <xf numFmtId="0" fontId="7" fillId="0" borderId="33" xfId="2" applyFont="1" applyBorder="1" applyAlignment="1">
      <alignment horizontal="right" vertical="center" wrapText="1"/>
    </xf>
    <xf numFmtId="0" fontId="7" fillId="0" borderId="34" xfId="2" applyFont="1" applyBorder="1" applyAlignment="1">
      <alignment horizontal="right" vertical="center" wrapText="1"/>
    </xf>
    <xf numFmtId="0" fontId="1" fillId="0" borderId="19" xfId="2" applyFont="1" applyBorder="1" applyAlignment="1">
      <alignment horizontal="right" vertical="center" wrapText="1"/>
    </xf>
    <xf numFmtId="0" fontId="1" fillId="0" borderId="8" xfId="2" applyFont="1" applyBorder="1" applyAlignment="1">
      <alignment horizontal="right" vertical="center" wrapText="1"/>
    </xf>
    <xf numFmtId="0" fontId="5" fillId="0" borderId="15" xfId="2" applyFont="1" applyBorder="1" applyAlignment="1">
      <alignment horizontal="left" vertical="center" wrapText="1" indent="5"/>
    </xf>
    <xf numFmtId="0" fontId="5" fillId="0" borderId="7" xfId="2" applyFont="1" applyBorder="1" applyAlignment="1">
      <alignment horizontal="left" vertical="center" wrapText="1" indent="5"/>
    </xf>
    <xf numFmtId="0" fontId="5" fillId="0" borderId="5" xfId="2" applyFont="1" applyBorder="1" applyAlignment="1">
      <alignment horizontal="left" vertical="center" wrapText="1" indent="5"/>
    </xf>
    <xf numFmtId="0" fontId="1" fillId="0" borderId="2" xfId="2" applyFont="1" applyBorder="1" applyAlignment="1">
      <alignment horizontal="center" vertical="center" wrapText="1"/>
    </xf>
    <xf numFmtId="0" fontId="1" fillId="0" borderId="3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0"/>
    </xf>
    <xf numFmtId="0" fontId="3" fillId="0" borderId="7" xfId="2" applyFont="1" applyBorder="1" applyAlignment="1">
      <alignment horizontal="left" vertical="center" wrapText="1" indent="10"/>
    </xf>
    <xf numFmtId="0" fontId="3" fillId="0" borderId="37" xfId="2" applyFont="1" applyBorder="1" applyAlignment="1">
      <alignment horizontal="left" vertical="center" wrapText="1" indent="10"/>
    </xf>
    <xf numFmtId="0" fontId="1" fillId="0" borderId="16" xfId="2" applyFont="1" applyBorder="1" applyAlignment="1">
      <alignment horizontal="center" vertical="center" wrapText="1"/>
    </xf>
    <xf numFmtId="0" fontId="1" fillId="0" borderId="17" xfId="2" applyFont="1" applyBorder="1" applyAlignment="1">
      <alignment horizontal="center" vertical="center" wrapText="1"/>
    </xf>
    <xf numFmtId="0" fontId="1" fillId="0" borderId="18" xfId="2" applyFont="1" applyBorder="1" applyAlignment="1">
      <alignment horizontal="center" vertical="center" wrapText="1"/>
    </xf>
    <xf numFmtId="0" fontId="5" fillId="0" borderId="15" xfId="2" applyFont="1" applyBorder="1" applyAlignment="1">
      <alignment horizontal="left" vertical="center" wrapText="1" indent="4"/>
    </xf>
    <xf numFmtId="0" fontId="5" fillId="0" borderId="7" xfId="2" applyFont="1" applyBorder="1" applyAlignment="1">
      <alignment horizontal="left" vertical="center" wrapText="1" indent="4"/>
    </xf>
    <xf numFmtId="0" fontId="5" fillId="0" borderId="5" xfId="2" applyFont="1" applyBorder="1" applyAlignment="1">
      <alignment horizontal="left" vertical="center" wrapText="1" indent="4"/>
    </xf>
    <xf numFmtId="0" fontId="0" fillId="0" borderId="56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2" xfId="0" applyBorder="1" applyAlignment="1">
      <alignment horizontal="center"/>
    </xf>
  </cellXfs>
  <cellStyles count="4">
    <cellStyle name="Normal" xfId="0" builtinId="0"/>
    <cellStyle name="Normal 2" xfId="2" xr:uid="{AC5AB59C-AD3E-4974-8671-25C81B541CFC}"/>
    <cellStyle name="Normal 3" xfId="3" xr:uid="{D8CC1351-64C8-4DDE-81D7-12E56AA199AB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 sz="1000" b="0"/>
              <a:t>Погрешность расчётов мощности ГТУ</a:t>
            </a:r>
          </a:p>
        </c:rich>
      </c:tx>
      <c:layout>
        <c:manualLayout>
          <c:xMode val="edge"/>
          <c:yMode val="edge"/>
          <c:x val="0.2512360017497812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25"/>
      <c:rotY val="2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37445319335085E-2"/>
          <c:y val="0.10185185185185185"/>
          <c:w val="0.89102777777777775"/>
          <c:h val="0.74686570428696408"/>
        </c:manualLayout>
      </c:layout>
      <c:surface3DChart>
        <c:wireframe val="1"/>
        <c:ser>
          <c:idx val="0"/>
          <c:order val="0"/>
          <c:tx>
            <c:strRef>
              <c:f>'Модель ГТУ'!$M$43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ГТУ'!$N$43:$S$43</c:f>
              <c:numCache>
                <c:formatCode>General</c:formatCode>
                <c:ptCount val="6"/>
                <c:pt idx="0">
                  <c:v>2.1209927193550016</c:v>
                </c:pt>
                <c:pt idx="1">
                  <c:v>2.1209927193550016</c:v>
                </c:pt>
                <c:pt idx="2">
                  <c:v>1.7743138269796388</c:v>
                </c:pt>
                <c:pt idx="3">
                  <c:v>1.7702216373678883</c:v>
                </c:pt>
                <c:pt idx="4">
                  <c:v>2.1719487516749707</c:v>
                </c:pt>
                <c:pt idx="5">
                  <c:v>2.2173457212917955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A5-43F2-9B51-0943326DB5BF}"/>
            </c:ext>
          </c:extLst>
        </c:ser>
        <c:ser>
          <c:idx val="1"/>
          <c:order val="1"/>
          <c:tx>
            <c:strRef>
              <c:f>'Модель ГТУ'!$M$44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ГТУ'!$N$44:$S$44</c:f>
              <c:numCache>
                <c:formatCode>General</c:formatCode>
                <c:ptCount val="6"/>
                <c:pt idx="0">
                  <c:v>1.9672158029675029</c:v>
                </c:pt>
                <c:pt idx="1">
                  <c:v>1.9672158029675029</c:v>
                </c:pt>
                <c:pt idx="2">
                  <c:v>1.9672158029675029</c:v>
                </c:pt>
                <c:pt idx="3">
                  <c:v>0.9674225589177764</c:v>
                </c:pt>
                <c:pt idx="4">
                  <c:v>1.4871501675484564</c:v>
                </c:pt>
                <c:pt idx="5">
                  <c:v>1.7426521653105611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A5-43F2-9B51-0943326DB5BF}"/>
            </c:ext>
          </c:extLst>
        </c:ser>
        <c:ser>
          <c:idx val="2"/>
          <c:order val="2"/>
          <c:tx>
            <c:strRef>
              <c:f>'Модель ГТУ'!$M$45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ГТУ'!$N$45:$S$45</c:f>
              <c:numCache>
                <c:formatCode>General</c:formatCode>
                <c:ptCount val="6"/>
                <c:pt idx="0">
                  <c:v>1.541826995800889</c:v>
                </c:pt>
                <c:pt idx="1">
                  <c:v>1.541826995800889</c:v>
                </c:pt>
                <c:pt idx="2">
                  <c:v>1.541826995800889</c:v>
                </c:pt>
                <c:pt idx="3">
                  <c:v>0.72294938080902471</c:v>
                </c:pt>
                <c:pt idx="4">
                  <c:v>1.3512905287699395</c:v>
                </c:pt>
                <c:pt idx="5">
                  <c:v>1.9003927113032892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A5-43F2-9B51-0943326DB5B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7408"/>
        <c:axId val="-1305872720"/>
        <c:axId val="-1824767920"/>
      </c:surface3DChart>
      <c:catAx>
        <c:axId val="-130588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auto val="1"/>
        <c:lblAlgn val="ctr"/>
        <c:lblOffset val="100"/>
        <c:noMultiLvlLbl val="0"/>
      </c:catAx>
      <c:valAx>
        <c:axId val="-1305872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066710411198591"/>
              <c:y val="0.2112992125984251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87408"/>
        <c:crosses val="autoZero"/>
        <c:crossBetween val="midCat"/>
      </c:valAx>
      <c:serAx>
        <c:axId val="-182476792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ayout>
        <c:manualLayout>
          <c:xMode val="edge"/>
          <c:yMode val="edge"/>
          <c:x val="0.71788188976377953"/>
          <c:y val="0.92654928550597826"/>
          <c:w val="0.27951377952755907"/>
          <c:h val="7.3450714494021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/>
            </a:pPr>
            <a:r>
              <a:rPr lang="ru-RU" sz="1050"/>
              <a:t>Погрешность расчётов КПД на клемах</a:t>
            </a:r>
          </a:p>
        </c:rich>
      </c:tx>
      <c:layout>
        <c:manualLayout>
          <c:xMode val="edge"/>
          <c:yMode val="edge"/>
          <c:x val="0.26262489063867017"/>
          <c:y val="1.9038274421304814E-3"/>
        </c:manualLayout>
      </c:layout>
      <c:overlay val="0"/>
    </c:title>
    <c:autoTitleDeleted val="0"/>
    <c:view3D>
      <c:rotX val="20"/>
      <c:rotY val="4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2520778652668418E-2"/>
          <c:y val="7.5977792495564231E-2"/>
          <c:w val="0.8874792213473317"/>
          <c:h val="0.6923557452514697"/>
        </c:manualLayout>
      </c:layout>
      <c:surface3DChart>
        <c:wireframe val="1"/>
        <c:ser>
          <c:idx val="0"/>
          <c:order val="0"/>
          <c:tx>
            <c:strRef>
              <c:f>'Модель ГТУ'!$M$48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ГТУ'!$N$48:$S$48</c:f>
              <c:numCache>
                <c:formatCode>General</c:formatCode>
                <c:ptCount val="6"/>
                <c:pt idx="0">
                  <c:v>1.2995831767691546</c:v>
                </c:pt>
                <c:pt idx="1">
                  <c:v>1.2739615165884495</c:v>
                </c:pt>
                <c:pt idx="2">
                  <c:v>0.8417228288879447</c:v>
                </c:pt>
                <c:pt idx="3">
                  <c:v>0.3557819264212283</c:v>
                </c:pt>
                <c:pt idx="4">
                  <c:v>0.32385296341375425</c:v>
                </c:pt>
                <c:pt idx="5">
                  <c:v>0.8751903100753381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69-4667-9BE5-15FBB4752498}"/>
            </c:ext>
          </c:extLst>
        </c:ser>
        <c:ser>
          <c:idx val="1"/>
          <c:order val="1"/>
          <c:tx>
            <c:strRef>
              <c:f>'Модель ГТУ'!$M$49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ГТУ'!$N$49:$S$49</c:f>
              <c:numCache>
                <c:formatCode>General</c:formatCode>
                <c:ptCount val="6"/>
                <c:pt idx="0">
                  <c:v>3.2726503209867115</c:v>
                </c:pt>
                <c:pt idx="1">
                  <c:v>3.273585437291699</c:v>
                </c:pt>
                <c:pt idx="2">
                  <c:v>3.0336673743742515</c:v>
                </c:pt>
                <c:pt idx="3">
                  <c:v>2.5172617667526853</c:v>
                </c:pt>
                <c:pt idx="4">
                  <c:v>2.436278644491348</c:v>
                </c:pt>
                <c:pt idx="5">
                  <c:v>2.865731059927874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69-4667-9BE5-15FBB4752498}"/>
            </c:ext>
          </c:extLst>
        </c:ser>
        <c:ser>
          <c:idx val="2"/>
          <c:order val="2"/>
          <c:tx>
            <c:strRef>
              <c:f>'Модель ГТУ'!$M$50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ГТУ'!$N$50:$S$50</c:f>
              <c:numCache>
                <c:formatCode>General</c:formatCode>
                <c:ptCount val="6"/>
                <c:pt idx="0">
                  <c:v>0.96054973239674091</c:v>
                </c:pt>
                <c:pt idx="1">
                  <c:v>0.96452799658640687</c:v>
                </c:pt>
                <c:pt idx="2">
                  <c:v>1.1040889415044162</c:v>
                </c:pt>
                <c:pt idx="3">
                  <c:v>1.6369313156273213</c:v>
                </c:pt>
                <c:pt idx="4">
                  <c:v>1.7295926163842557</c:v>
                </c:pt>
                <c:pt idx="5">
                  <c:v>1.3528501923005853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69-4667-9BE5-15FBB4752498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72176"/>
        <c:axId val="-1305884144"/>
        <c:axId val="-1824759808"/>
      </c:surface3DChart>
      <c:catAx>
        <c:axId val="-130587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auto val="1"/>
        <c:lblAlgn val="ctr"/>
        <c:lblOffset val="500"/>
        <c:noMultiLvlLbl val="0"/>
      </c:catAx>
      <c:valAx>
        <c:axId val="-130588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3.9116579177602806E-2"/>
              <c:y val="0.113311825605132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72176"/>
        <c:crosses val="autoZero"/>
        <c:crossBetween val="midCat"/>
      </c:valAx>
      <c:serAx>
        <c:axId val="-182475980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89"/>
          <c:y val="0.92146229384878298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расхода выхлопных газов</a:t>
            </a:r>
          </a:p>
        </c:rich>
      </c:tx>
      <c:layout>
        <c:manualLayout>
          <c:xMode val="edge"/>
          <c:yMode val="edge"/>
          <c:x val="0.19477077865266842"/>
          <c:y val="0"/>
        </c:manualLayout>
      </c:layout>
      <c:overlay val="0"/>
    </c:title>
    <c:autoTitleDeleted val="0"/>
    <c:view3D>
      <c:rotX val="20"/>
      <c:rotY val="23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5180446194225723E-2"/>
          <c:y val="8.7962962962962965E-2"/>
          <c:w val="0.93284951881014888"/>
          <c:h val="0.63391951006124247"/>
        </c:manualLayout>
      </c:layout>
      <c:surface3DChart>
        <c:wireframe val="1"/>
        <c:ser>
          <c:idx val="0"/>
          <c:order val="0"/>
          <c:tx>
            <c:strRef>
              <c:f>'Модель ГТУ'!$M$53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ГТУ'!$N$53:$S$53</c:f>
              <c:numCache>
                <c:formatCode>General</c:formatCode>
                <c:ptCount val="6"/>
                <c:pt idx="0">
                  <c:v>0.22807461079036848</c:v>
                </c:pt>
                <c:pt idx="1">
                  <c:v>0.8137533257424161</c:v>
                </c:pt>
                <c:pt idx="2">
                  <c:v>0.92886642140257036</c:v>
                </c:pt>
                <c:pt idx="3">
                  <c:v>1.8388540443332628</c:v>
                </c:pt>
                <c:pt idx="4">
                  <c:v>2.3242696981125284</c:v>
                </c:pt>
                <c:pt idx="5">
                  <c:v>2.1567206075828973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B-458C-8BD8-D29BA2F9C997}"/>
            </c:ext>
          </c:extLst>
        </c:ser>
        <c:ser>
          <c:idx val="1"/>
          <c:order val="1"/>
          <c:tx>
            <c:strRef>
              <c:f>'Модель ГТУ'!$M$54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ГТУ'!$N$54:$S$54</c:f>
              <c:numCache>
                <c:formatCode>General</c:formatCode>
                <c:ptCount val="6"/>
                <c:pt idx="0">
                  <c:v>0.48978301759129939</c:v>
                </c:pt>
                <c:pt idx="1">
                  <c:v>1.0477741061093182</c:v>
                </c:pt>
                <c:pt idx="2">
                  <c:v>1.4458835240254513</c:v>
                </c:pt>
                <c:pt idx="3">
                  <c:v>0.89418197821169998</c:v>
                </c:pt>
                <c:pt idx="4">
                  <c:v>1.3825435562570447</c:v>
                </c:pt>
                <c:pt idx="5">
                  <c:v>1.2867258888476469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5B-458C-8BD8-D29BA2F9C997}"/>
            </c:ext>
          </c:extLst>
        </c:ser>
        <c:ser>
          <c:idx val="2"/>
          <c:order val="2"/>
          <c:tx>
            <c:strRef>
              <c:f>'Модель ГТУ'!$M$55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ГТУ'!$N$55:$S$55</c:f>
              <c:numCache>
                <c:formatCode>General</c:formatCode>
                <c:ptCount val="6"/>
                <c:pt idx="0">
                  <c:v>0.3132538610820208</c:v>
                </c:pt>
                <c:pt idx="1">
                  <c:v>0.8590953719311567</c:v>
                </c:pt>
                <c:pt idx="2">
                  <c:v>1.216080258506036</c:v>
                </c:pt>
                <c:pt idx="3">
                  <c:v>0.54340812664249072</c:v>
                </c:pt>
                <c:pt idx="4">
                  <c:v>1.088172033664327</c:v>
                </c:pt>
                <c:pt idx="5">
                  <c:v>0.99345377973143068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5B-458C-8BD8-D29BA2F9C997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0336"/>
        <c:axId val="-1305865648"/>
        <c:axId val="-1824765424"/>
      </c:surface3DChart>
      <c:catAx>
        <c:axId val="-130588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auto val="1"/>
        <c:lblAlgn val="ctr"/>
        <c:lblOffset val="500"/>
        <c:noMultiLvlLbl val="0"/>
      </c:catAx>
      <c:valAx>
        <c:axId val="-1305865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125678040244982"/>
              <c:y val="0.2375054680664917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0336"/>
        <c:crosses val="autoZero"/>
        <c:crossBetween val="midCat"/>
      </c:valAx>
      <c:serAx>
        <c:axId val="-1824765424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78"/>
          <c:y val="0.91220290172061824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температуры выхлопных газов</a:t>
            </a:r>
          </a:p>
        </c:rich>
      </c:tx>
      <c:layout>
        <c:manualLayout>
          <c:xMode val="edge"/>
          <c:yMode val="edge"/>
          <c:x val="0.22004855643044618"/>
          <c:y val="2.7777777777777776E-2"/>
        </c:manualLayout>
      </c:layout>
      <c:overlay val="0"/>
    </c:title>
    <c:autoTitleDeleted val="0"/>
    <c:view3D>
      <c:rotX val="20"/>
      <c:rotY val="3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>
        <c:manualLayout>
          <c:layoutTarget val="inner"/>
          <c:xMode val="edge"/>
          <c:yMode val="edge"/>
          <c:x val="6.52985564304462E-2"/>
          <c:y val="0.10648148148148148"/>
          <c:w val="0.8874792213473317"/>
          <c:h val="0.6875962379702536"/>
        </c:manualLayout>
      </c:layout>
      <c:surface3DChart>
        <c:wireframe val="1"/>
        <c:ser>
          <c:idx val="0"/>
          <c:order val="0"/>
          <c:tx>
            <c:strRef>
              <c:f>'Модель ГТУ'!$M$58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ГТУ'!$N$58:$S$58</c:f>
              <c:numCache>
                <c:formatCode>General</c:formatCode>
                <c:ptCount val="6"/>
                <c:pt idx="0">
                  <c:v>0.52620410629358161</c:v>
                </c:pt>
                <c:pt idx="1">
                  <c:v>0.15108977508513241</c:v>
                </c:pt>
                <c:pt idx="2">
                  <c:v>0.14444227415140232</c:v>
                </c:pt>
                <c:pt idx="3">
                  <c:v>0.11690607223665431</c:v>
                </c:pt>
                <c:pt idx="4">
                  <c:v>2.6132960378282694E-2</c:v>
                </c:pt>
                <c:pt idx="5">
                  <c:v>4.3645145322021836E-2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D-4A17-B164-10BDCEA5CAFF}"/>
            </c:ext>
          </c:extLst>
        </c:ser>
        <c:ser>
          <c:idx val="1"/>
          <c:order val="1"/>
          <c:tx>
            <c:strRef>
              <c:f>'Модель ГТУ'!$M$59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ГТУ'!$N$59:$S$59</c:f>
              <c:numCache>
                <c:formatCode>General</c:formatCode>
                <c:ptCount val="6"/>
                <c:pt idx="0">
                  <c:v>0.79576297576075017</c:v>
                </c:pt>
                <c:pt idx="1">
                  <c:v>0.41770229777978329</c:v>
                </c:pt>
                <c:pt idx="2">
                  <c:v>0.13742324445750417</c:v>
                </c:pt>
                <c:pt idx="3">
                  <c:v>0.14515601827846264</c:v>
                </c:pt>
                <c:pt idx="4">
                  <c:v>0.26653594216511683</c:v>
                </c:pt>
                <c:pt idx="5">
                  <c:v>0.17181672970152181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8D-4A17-B164-10BDCEA5CAFF}"/>
            </c:ext>
          </c:extLst>
        </c:ser>
        <c:ser>
          <c:idx val="2"/>
          <c:order val="2"/>
          <c:tx>
            <c:strRef>
              <c:f>'Модель ГТУ'!$M$60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ГТУ'!$N$60:$S$60</c:f>
              <c:numCache>
                <c:formatCode>General</c:formatCode>
                <c:ptCount val="6"/>
                <c:pt idx="0">
                  <c:v>3.8418189141663679E-2</c:v>
                </c:pt>
                <c:pt idx="1">
                  <c:v>0.4104746325056462</c:v>
                </c:pt>
                <c:pt idx="2">
                  <c:v>0.67379731132278464</c:v>
                </c:pt>
                <c:pt idx="3">
                  <c:v>0.67558829279579102</c:v>
                </c:pt>
                <c:pt idx="4">
                  <c:v>0.58607031157576917</c:v>
                </c:pt>
                <c:pt idx="5">
                  <c:v>0.70744108441164477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8D-4A17-B164-10BDCEA5CAFF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64016"/>
        <c:axId val="-1305860208"/>
        <c:axId val="-1824757936"/>
      </c:surface3DChart>
      <c:catAx>
        <c:axId val="-130586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auto val="1"/>
        <c:lblAlgn val="ctr"/>
        <c:lblOffset val="500"/>
        <c:noMultiLvlLbl val="0"/>
      </c:catAx>
      <c:valAx>
        <c:axId val="-130586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ru-RU" sz="1000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10300546806649169"/>
              <c:y val="0.247571084864391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4016"/>
        <c:crosses val="autoZero"/>
        <c:crossBetween val="midCat"/>
      </c:valAx>
      <c:serAx>
        <c:axId val="-182475793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58898075240594927"/>
          <c:y val="0.90383675998833479"/>
          <c:w val="0.40953849518810148"/>
          <c:h val="9.616324001166520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8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'КУ+ПТ номинальный режим'!$A$66</c:f>
              <c:strCache>
                <c:ptCount val="1"/>
                <c:pt idx="0">
                  <c:v>Газ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'КУ+ПТ номинальный режим'!$B$68:$H$68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241.29991635432384</c:v>
                </c:pt>
              </c:numCache>
            </c:numRef>
          </c:xVal>
          <c:yVal>
            <c:numRef>
              <c:f>'КУ+ПТ номинальный режим'!$B$67:$H$67</c:f>
              <c:numCache>
                <c:formatCode>General</c:formatCode>
                <c:ptCount val="7"/>
                <c:pt idx="0">
                  <c:v>542.1</c:v>
                </c:pt>
                <c:pt idx="1">
                  <c:v>468.07511189228387</c:v>
                </c:pt>
                <c:pt idx="2">
                  <c:v>309.2</c:v>
                </c:pt>
                <c:pt idx="3">
                  <c:v>236.62133360145555</c:v>
                </c:pt>
                <c:pt idx="4">
                  <c:v>233.63054078077988</c:v>
                </c:pt>
                <c:pt idx="5">
                  <c:v>175.5</c:v>
                </c:pt>
                <c:pt idx="6">
                  <c:v>103.43945961238336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F-4858-88EF-B531448A4292}"/>
            </c:ext>
          </c:extLst>
        </c:ser>
        <c:ser>
          <c:idx val="1"/>
          <c:order val="1"/>
          <c:tx>
            <c:strRef>
              <c:f>'КУ+ПТ номинальный режим'!$A$70</c:f>
              <c:strCache>
                <c:ptCount val="1"/>
                <c:pt idx="0">
                  <c:v>Газ из отчета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'КУ+ПТ номинальный режим'!$B$72:$H$72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239.46782865245984</c:v>
                </c:pt>
              </c:numCache>
            </c:numRef>
          </c:xVal>
          <c:yVal>
            <c:numRef>
              <c:f>'КУ+ПТ номинальный режим'!$B$71:$H$71</c:f>
              <c:numCache>
                <c:formatCode>General</c:formatCode>
                <c:ptCount val="7"/>
                <c:pt idx="0">
                  <c:v>542.1</c:v>
                </c:pt>
                <c:pt idx="1">
                  <c:v>468.05</c:v>
                </c:pt>
                <c:pt idx="2">
                  <c:v>309.2</c:v>
                </c:pt>
                <c:pt idx="3">
                  <c:v>235.9</c:v>
                </c:pt>
                <c:pt idx="4">
                  <c:v>233</c:v>
                </c:pt>
                <c:pt idx="5">
                  <c:v>175.5</c:v>
                </c:pt>
                <c:pt idx="6">
                  <c:v>106.9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8F-4858-88EF-B531448A4292}"/>
            </c:ext>
          </c:extLst>
        </c:ser>
        <c:ser>
          <c:idx val="2"/>
          <c:order val="2"/>
          <c:tx>
            <c:strRef>
              <c:f>'КУ+ПТ номинальный режим'!$A$73</c:f>
              <c:strCache>
                <c:ptCount val="1"/>
                <c:pt idx="0">
                  <c:v>ВД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'КУ+ПТ номинальный режим'!$B$76:$G$76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режим'!$B$75:$G$75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298.29755574753347</c:v>
                </c:pt>
                <c:pt idx="4">
                  <c:v>298.29755574753347</c:v>
                </c:pt>
                <c:pt idx="5">
                  <c:v>166.22157513753592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8F-4858-88EF-B531448A4292}"/>
            </c:ext>
          </c:extLst>
        </c:ser>
        <c:ser>
          <c:idx val="3"/>
          <c:order val="3"/>
          <c:tx>
            <c:strRef>
              <c:f>'КУ+ПТ номинальный режим'!$B$73</c:f>
              <c:strCache>
                <c:ptCount val="1"/>
                <c:pt idx="0">
                  <c:v>НД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'КУ+ПТ номинальный режим'!$H$76:$M$76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241.29991635432384</c:v>
                </c:pt>
              </c:numCache>
            </c:numRef>
          </c:xVal>
          <c:yVal>
            <c:numRef>
              <c:f>'КУ+ПТ номинальный режим'!$H$75:$M$75</c:f>
              <c:numCache>
                <c:formatCode>General</c:formatCode>
                <c:ptCount val="6"/>
                <c:pt idx="0">
                  <c:v>212.32133360145554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161.73836143543406</c:v>
                </c:pt>
                <c:pt idx="4">
                  <c:v>161.73836143543406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8F-4858-88EF-B531448A4292}"/>
            </c:ext>
          </c:extLst>
        </c:ser>
        <c:ser>
          <c:idx val="4"/>
          <c:order val="4"/>
          <c:tx>
            <c:strRef>
              <c:f>'КУ+ПТ номинальный режим'!$A$79</c:f>
              <c:strCache>
                <c:ptCount val="1"/>
                <c:pt idx="0">
                  <c:v>Из очтета ВД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'КУ+ПТ номинальный режим'!$B$82:$G$82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режим'!$B$81:$G$81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298.8</c:v>
                </c:pt>
                <c:pt idx="4">
                  <c:v>298.8</c:v>
                </c:pt>
                <c:pt idx="5">
                  <c:v>166.5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8F-4858-88EF-B531448A4292}"/>
            </c:ext>
          </c:extLst>
        </c:ser>
        <c:ser>
          <c:idx val="5"/>
          <c:order val="5"/>
          <c:tx>
            <c:strRef>
              <c:f>'КУ+ПТ номинальный режим'!$B$79</c:f>
              <c:strCache>
                <c:ptCount val="1"/>
                <c:pt idx="0">
                  <c:v>Из отчета НД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'КУ+ПТ номинальный режим'!$H$82:$M$82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239.46782865245984</c:v>
                </c:pt>
              </c:numCache>
            </c:numRef>
          </c:xVal>
          <c:yVal>
            <c:numRef>
              <c:f>'КУ+ПТ номинальный режим'!$H$81:$M$81</c:f>
              <c:numCache>
                <c:formatCode>General</c:formatCode>
                <c:ptCount val="6"/>
                <c:pt idx="0">
                  <c:v>211.6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164.6</c:v>
                </c:pt>
                <c:pt idx="4">
                  <c:v>164.6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8F-4858-88EF-B531448A4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116096"/>
        <c:axId val="1485117760"/>
      </c:scatterChart>
      <c:valAx>
        <c:axId val="1485116096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7760"/>
        <c:crosses val="autoZero"/>
        <c:crossBetween val="midCat"/>
      </c:valAx>
      <c:valAx>
        <c:axId val="148511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4041053077406321E-2"/>
          <c:y val="9.2853470437017999E-2"/>
          <c:w val="0.91536089518822161"/>
          <c:h val="0.86738942979171307"/>
        </c:manualLayout>
      </c:layout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C-4A2F-A8ED-07CCE5167DAF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845877766563959"/>
                  <c:y val="-4.8177506089373788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solidFill>
                    <a:schemeClr val="bg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6C-4A2F-A8ED-07CCE5167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8240"/>
        <c:axId val="-1826706064"/>
      </c:scatterChart>
      <c:valAx>
        <c:axId val="-1826708240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6064"/>
        <c:crosses val="autoZero"/>
        <c:crossBetween val="midCat"/>
      </c:valAx>
      <c:valAx>
        <c:axId val="-1826706064"/>
        <c:scaling>
          <c:orientation val="minMax"/>
          <c:min val="0.9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82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706064518650938"/>
          <c:y val="0.10108739434274577"/>
          <c:w val="0.84757361133994302"/>
          <c:h val="0.854243950724297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данных'!$E$13:$E$28</c:f>
              <c:numCache>
                <c:formatCode>General</c:formatCode>
                <c:ptCount val="16"/>
                <c:pt idx="0">
                  <c:v>1.1000000238418579</c:v>
                </c:pt>
                <c:pt idx="1">
                  <c:v>1.1000000238418579</c:v>
                </c:pt>
                <c:pt idx="2">
                  <c:v>1.1000000238418579</c:v>
                </c:pt>
                <c:pt idx="3">
                  <c:v>1.1000000238418579</c:v>
                </c:pt>
                <c:pt idx="4">
                  <c:v>1.1000000238418579</c:v>
                </c:pt>
                <c:pt idx="5">
                  <c:v>1.1000000238418579</c:v>
                </c:pt>
                <c:pt idx="6">
                  <c:v>1.1000000238418579</c:v>
                </c:pt>
                <c:pt idx="7">
                  <c:v>1.090999960899353</c:v>
                </c:pt>
                <c:pt idx="8">
                  <c:v>1.0609999895095825</c:v>
                </c:pt>
                <c:pt idx="9">
                  <c:v>1.031000018119812</c:v>
                </c:pt>
                <c:pt idx="10">
                  <c:v>1.0010000467300415</c:v>
                </c:pt>
                <c:pt idx="11">
                  <c:v>0.97100001573562622</c:v>
                </c:pt>
                <c:pt idx="12">
                  <c:v>0.94099998474121094</c:v>
                </c:pt>
                <c:pt idx="13">
                  <c:v>0.91100001335144043</c:v>
                </c:pt>
                <c:pt idx="14">
                  <c:v>0.88099998235702515</c:v>
                </c:pt>
                <c:pt idx="15">
                  <c:v>0.85100001096725464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5F-4944-8AA5-1C9AB6E21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4432"/>
        <c:axId val="-1826701712"/>
      </c:scatterChart>
      <c:valAx>
        <c:axId val="-1826704432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1712"/>
        <c:crosses val="autoZero"/>
        <c:crossBetween val="midCat"/>
      </c:valAx>
      <c:valAx>
        <c:axId val="-1826701712"/>
        <c:scaling>
          <c:orientation val="minMax"/>
          <c:max val="1.1500000000000001"/>
          <c:min val="0.85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44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6689359750158878E-2"/>
          <c:y val="0.12198800342759213"/>
          <c:w val="0.87818050429701766"/>
          <c:h val="0.8348273046846007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данных'!$G$20:$G$29</c:f>
              <c:numCache>
                <c:formatCode>General</c:formatCode>
                <c:ptCount val="10"/>
                <c:pt idx="0">
                  <c:v>-2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</c:numCache>
            </c:numRef>
          </c:xVal>
          <c:yVal>
            <c:numRef>
              <c:f>'Граф. исх. данных'!$H$20:$H$29</c:f>
              <c:numCache>
                <c:formatCode>General</c:formatCode>
                <c:ptCount val="10"/>
                <c:pt idx="0">
                  <c:v>1.050499439239502</c:v>
                </c:pt>
                <c:pt idx="1">
                  <c:v>1.045702338218689</c:v>
                </c:pt>
                <c:pt idx="2">
                  <c:v>1.0321435928344727</c:v>
                </c:pt>
                <c:pt idx="3">
                  <c:v>1.0166029930114746</c:v>
                </c:pt>
                <c:pt idx="4">
                  <c:v>0.99939936399459839</c:v>
                </c:pt>
                <c:pt idx="5">
                  <c:v>0.98085153102874756</c:v>
                </c:pt>
                <c:pt idx="6">
                  <c:v>0.96127837896347046</c:v>
                </c:pt>
                <c:pt idx="7">
                  <c:v>0.94099867343902588</c:v>
                </c:pt>
                <c:pt idx="8">
                  <c:v>0.92033123970031738</c:v>
                </c:pt>
                <c:pt idx="9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72-471B-8D3B-6CE2F318034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4.4480156006109911E-2"/>
                  <c:y val="-1.1080568656424374E-2"/>
                </c:manualLayout>
              </c:layout>
              <c:numFmt formatCode="0.0000E+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данных'!$G$14:$G$20</c:f>
              <c:numCache>
                <c:formatCode>General</c:formatCode>
                <c:ptCount val="7"/>
                <c:pt idx="0">
                  <c:v>-30</c:v>
                </c:pt>
                <c:pt idx="1">
                  <c:v>-25</c:v>
                </c:pt>
                <c:pt idx="2">
                  <c:v>-20</c:v>
                </c:pt>
                <c:pt idx="3">
                  <c:v>-15</c:v>
                </c:pt>
                <c:pt idx="4">
                  <c:v>-10</c:v>
                </c:pt>
                <c:pt idx="5">
                  <c:v>-5</c:v>
                </c:pt>
                <c:pt idx="6">
                  <c:v>-2</c:v>
                </c:pt>
              </c:numCache>
            </c:numRef>
          </c:xVal>
          <c:yVal>
            <c:numRef>
              <c:f>'Граф. исх. данных'!$H$14:$H$20</c:f>
              <c:numCache>
                <c:formatCode>General</c:formatCode>
                <c:ptCount val="7"/>
                <c:pt idx="0">
                  <c:v>1.0187816619873047</c:v>
                </c:pt>
                <c:pt idx="1">
                  <c:v>1.0231630802154541</c:v>
                </c:pt>
                <c:pt idx="2">
                  <c:v>1.0281732082366943</c:v>
                </c:pt>
                <c:pt idx="3">
                  <c:v>1.0338119268417358</c:v>
                </c:pt>
                <c:pt idx="4">
                  <c:v>1.0400793552398682</c:v>
                </c:pt>
                <c:pt idx="5">
                  <c:v>1.0469753742218018</c:v>
                </c:pt>
                <c:pt idx="6">
                  <c:v>1.050499439239502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72-471B-8D3B-6CE2F3180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1969808"/>
        <c:axId val="-1831970352"/>
      </c:scatterChart>
      <c:valAx>
        <c:axId val="-183196980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70352"/>
        <c:crosses val="autoZero"/>
        <c:crossBetween val="midCat"/>
      </c:valAx>
      <c:valAx>
        <c:axId val="-1831970352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6980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59891090913327"/>
          <c:y val="9.2853470437017999E-2"/>
          <c:w val="0.79136863286757841"/>
          <c:h val="0.8482687731779774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8892958591800579E-3"/>
                  <c:y val="-0.58216824397244271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данных'!$B$20:$B$28</c:f>
              <c:numCache>
                <c:formatCode>General</c:formatCode>
                <c:ptCount val="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</c:numCache>
            </c:numRef>
          </c:xVal>
          <c:yVal>
            <c:numRef>
              <c:f>'Граф. исх. данных'!$B$40:$B$48</c:f>
              <c:numCache>
                <c:formatCode>General</c:formatCode>
                <c:ptCount val="9"/>
                <c:pt idx="0">
                  <c:v>1.0199999809265137</c:v>
                </c:pt>
                <c:pt idx="1">
                  <c:v>1.0149999999999999</c:v>
                </c:pt>
                <c:pt idx="2">
                  <c:v>1.008</c:v>
                </c:pt>
                <c:pt idx="3">
                  <c:v>1</c:v>
                </c:pt>
                <c:pt idx="4">
                  <c:v>0.99150000000000005</c:v>
                </c:pt>
                <c:pt idx="5">
                  <c:v>0.98199999999999998</c:v>
                </c:pt>
                <c:pt idx="6">
                  <c:v>0.97150000000000003</c:v>
                </c:pt>
                <c:pt idx="7">
                  <c:v>0.96099999999999997</c:v>
                </c:pt>
                <c:pt idx="8">
                  <c:v>0.94940000000000002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B1-43B8-8F5A-94DB1FE699C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4.3506083315177253E-3"/>
                  <c:y val="-5.9150437947862337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данных'!$B$13:$B$20</c:f>
              <c:numCache>
                <c:formatCode>General</c:formatCode>
                <c:ptCount val="8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</c:numCache>
            </c:numRef>
          </c:xVal>
          <c:yVal>
            <c:numRef>
              <c:f>'Граф. исх. данных'!$B$33:$B$40</c:f>
              <c:numCache>
                <c:formatCode>General</c:formatCode>
                <c:ptCount val="8"/>
                <c:pt idx="0">
                  <c:v>1.0219</c:v>
                </c:pt>
                <c:pt idx="1">
                  <c:v>1.0222</c:v>
                </c:pt>
                <c:pt idx="2">
                  <c:v>1.0224299999999999</c:v>
                </c:pt>
                <c:pt idx="3">
                  <c:v>1.0225</c:v>
                </c:pt>
                <c:pt idx="4">
                  <c:v>1.0224500000000001</c:v>
                </c:pt>
                <c:pt idx="5">
                  <c:v>1.0223</c:v>
                </c:pt>
                <c:pt idx="6">
                  <c:v>1.0219</c:v>
                </c:pt>
                <c:pt idx="7">
                  <c:v>1.0199999809265137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B1-43B8-8F5A-94DB1FE699C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данных'!$A$33:$A$48</c:f>
              <c:numCache>
                <c:formatCode>General</c:formatCode>
                <c:ptCount val="16"/>
                <c:pt idx="0">
                  <c:v>1.0220258235931396</c:v>
                </c:pt>
                <c:pt idx="1">
                  <c:v>1.0221495628356934</c:v>
                </c:pt>
                <c:pt idx="2">
                  <c:v>1.02225661277771</c:v>
                </c:pt>
                <c:pt idx="3">
                  <c:v>1.0225216150283813</c:v>
                </c:pt>
                <c:pt idx="4">
                  <c:v>1.0226304531097412</c:v>
                </c:pt>
                <c:pt idx="5">
                  <c:v>1.0223923921585083</c:v>
                </c:pt>
                <c:pt idx="6">
                  <c:v>1.0216171741485596</c:v>
                </c:pt>
                <c:pt idx="7">
                  <c:v>1.0201485157012939</c:v>
                </c:pt>
                <c:pt idx="8">
                  <c:v>1.0146939754486084</c:v>
                </c:pt>
                <c:pt idx="9">
                  <c:v>1.0080112218856812</c:v>
                </c:pt>
                <c:pt idx="10">
                  <c:v>1.0002323389053345</c:v>
                </c:pt>
                <c:pt idx="11">
                  <c:v>0.9914892315864563</c:v>
                </c:pt>
                <c:pt idx="12">
                  <c:v>0.98191386461257935</c:v>
                </c:pt>
                <c:pt idx="13">
                  <c:v>0.97163838148117065</c:v>
                </c:pt>
                <c:pt idx="14">
                  <c:v>0.96079468727111816</c:v>
                </c:pt>
                <c:pt idx="15">
                  <c:v>0.94951474666595459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B1-43B8-8F5A-94DB1FE69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57488"/>
        <c:axId val="-1305858576"/>
      </c:scatterChart>
      <c:valAx>
        <c:axId val="-130585748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8576"/>
        <c:crosses val="autoZero"/>
        <c:crossBetween val="midCat"/>
      </c:valAx>
      <c:valAx>
        <c:axId val="-1305858576"/>
        <c:scaling>
          <c:orientation val="minMax"/>
          <c:min val="0.940000000000000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748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34648313265724"/>
          <c:y val="9.1115178869119476E-2"/>
          <c:w val="0.8505909399842011"/>
          <c:h val="0.84826879394533661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данных'!$C$33:$C$48</c:f>
              <c:numCache>
                <c:formatCode>General</c:formatCode>
                <c:ptCount val="16"/>
                <c:pt idx="0">
                  <c:v>1.0187816619873047</c:v>
                </c:pt>
                <c:pt idx="1">
                  <c:v>1.0213351249694824</c:v>
                </c:pt>
                <c:pt idx="2">
                  <c:v>1.0231630802154541</c:v>
                </c:pt>
                <c:pt idx="3">
                  <c:v>1.0281732082366943</c:v>
                </c:pt>
                <c:pt idx="4">
                  <c:v>1.0338119268417358</c:v>
                </c:pt>
                <c:pt idx="5">
                  <c:v>1.0400793552398682</c:v>
                </c:pt>
                <c:pt idx="6">
                  <c:v>1.0469753742218018</c:v>
                </c:pt>
                <c:pt idx="7">
                  <c:v>1.045702338218689</c:v>
                </c:pt>
                <c:pt idx="8">
                  <c:v>1.0321435928344727</c:v>
                </c:pt>
                <c:pt idx="9">
                  <c:v>1.0166029930114746</c:v>
                </c:pt>
                <c:pt idx="10">
                  <c:v>0.99939936399459839</c:v>
                </c:pt>
                <c:pt idx="11">
                  <c:v>0.98085153102874756</c:v>
                </c:pt>
                <c:pt idx="12">
                  <c:v>0.96127837896347046</c:v>
                </c:pt>
                <c:pt idx="13">
                  <c:v>0.94099867343902588</c:v>
                </c:pt>
                <c:pt idx="14">
                  <c:v>0.92033123970031738</c:v>
                </c:pt>
                <c:pt idx="15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D-42C7-BABA-656C5B744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776"/>
        <c:axId val="-1305859664"/>
      </c:scatterChart>
      <c:valAx>
        <c:axId val="-1305885776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9664"/>
        <c:crosses val="autoZero"/>
        <c:crossBetween val="midCat"/>
      </c:valAx>
      <c:valAx>
        <c:axId val="-1305859664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77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219286478079129"/>
          <c:y val="7.2864615271073643E-2"/>
          <c:w val="0.78533897151744914"/>
          <c:h val="0.84618326070487515"/>
        </c:manualLayout>
      </c:layout>
      <c:scatterChart>
        <c:scatterStyle val="lineMarker"/>
        <c:varyColors val="0"/>
        <c:ser>
          <c:idx val="4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82-4441-A115-624C483F8248}"/>
            </c:ext>
          </c:extLst>
        </c:ser>
        <c:ser>
          <c:idx val="5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82-4441-A115-624C483F8248}"/>
            </c:ext>
          </c:extLst>
        </c:ser>
        <c:ser>
          <c:idx val="6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82-4441-A115-624C483F8248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82-4441-A115-624C483F8248}"/>
            </c:ext>
          </c:extLst>
        </c:ser>
        <c:ser>
          <c:idx val="0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82-4441-A115-624C483F8248}"/>
            </c:ext>
          </c:extLst>
        </c:ser>
        <c:ser>
          <c:idx val="1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82-4441-A115-624C483F8248}"/>
            </c:ext>
          </c:extLst>
        </c:ser>
        <c:ser>
          <c:idx val="2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82-4441-A115-624C483F8248}"/>
            </c:ext>
          </c:extLst>
        </c:ser>
        <c:ser>
          <c:idx val="3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82-4441-A115-624C483F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232"/>
        <c:axId val="-1305889584"/>
      </c:scatterChart>
      <c:valAx>
        <c:axId val="-130588523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584"/>
        <c:crosses val="autoZero"/>
        <c:crossBetween val="midCat"/>
      </c:valAx>
      <c:valAx>
        <c:axId val="-1305889584"/>
        <c:scaling>
          <c:orientation val="minMax"/>
          <c:max val="1.01"/>
          <c:min val="0.965000000000000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2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9395361949545"/>
          <c:y val="4.6725133053345864E-2"/>
          <c:w val="0.74824990615805631"/>
          <c:h val="0.8760569546679927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данных'!$K$21:$K$28</c:f>
              <c:numCache>
                <c:formatCode>General</c:formatCode>
                <c:ptCount val="8"/>
                <c:pt idx="0">
                  <c:v>1</c:v>
                </c:pt>
                <c:pt idx="1">
                  <c:v>1.0026700496673584</c:v>
                </c:pt>
                <c:pt idx="2">
                  <c:v>1.0053399801254272</c:v>
                </c:pt>
                <c:pt idx="3">
                  <c:v>1.0080100297927856</c:v>
                </c:pt>
                <c:pt idx="4">
                  <c:v>1.0106799602508545</c:v>
                </c:pt>
                <c:pt idx="5">
                  <c:v>1.0133500099182129</c:v>
                </c:pt>
                <c:pt idx="6">
                  <c:v>1.0160200595855713</c:v>
                </c:pt>
                <c:pt idx="7">
                  <c:v>1.0186899900436401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8B-4F0A-9515-276BE297E9B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28B-4F0A-9515-276BE297E9B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28B-4F0A-9515-276BE297E9B6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данных'!$M$21:$M$28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28B-4F0A-9515-276BE297E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3056"/>
        <c:axId val="-1305870544"/>
      </c:scatterChart>
      <c:valAx>
        <c:axId val="-1305883056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0544"/>
        <c:crosses val="autoZero"/>
        <c:crossBetween val="midCat"/>
      </c:valAx>
      <c:valAx>
        <c:axId val="-1305870544"/>
        <c:scaling>
          <c:orientation val="minMax"/>
          <c:max val="1.03"/>
          <c:min val="0.95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305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00640799304668"/>
          <c:y val="9.2853470437017999E-2"/>
          <c:w val="0.82013451624598277"/>
          <c:h val="0.8485376731507533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данных'!$I$35:$I$45</c:f>
              <c:numCache>
                <c:formatCode>General</c:formatCode>
                <c:ptCount val="11"/>
                <c:pt idx="0">
                  <c:v>0.68500000238418579</c:v>
                </c:pt>
                <c:pt idx="1">
                  <c:v>0.68690001964569092</c:v>
                </c:pt>
                <c:pt idx="2">
                  <c:v>0.68879997730255127</c:v>
                </c:pt>
                <c:pt idx="3">
                  <c:v>0.6906999945640564</c:v>
                </c:pt>
                <c:pt idx="4">
                  <c:v>0.69260001182556152</c:v>
                </c:pt>
                <c:pt idx="5">
                  <c:v>0.69450002908706665</c:v>
                </c:pt>
                <c:pt idx="6">
                  <c:v>0.74040001630783081</c:v>
                </c:pt>
                <c:pt idx="7">
                  <c:v>0.80529999732971191</c:v>
                </c:pt>
                <c:pt idx="8">
                  <c:v>0.87019997835159302</c:v>
                </c:pt>
                <c:pt idx="9">
                  <c:v>0.93509995937347412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0C-4888-88AD-15F8391B82E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данных'!$J$35:$J$45</c:f>
              <c:numCache>
                <c:formatCode>General</c:formatCode>
                <c:ptCount val="11"/>
                <c:pt idx="0">
                  <c:v>0.46000000834465027</c:v>
                </c:pt>
                <c:pt idx="1">
                  <c:v>0.56190001964569092</c:v>
                </c:pt>
                <c:pt idx="2">
                  <c:v>0.66380000114440918</c:v>
                </c:pt>
                <c:pt idx="3">
                  <c:v>0.76569998264312744</c:v>
                </c:pt>
                <c:pt idx="4">
                  <c:v>0.86760002374649048</c:v>
                </c:pt>
                <c:pt idx="5">
                  <c:v>0.96950000524520874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0C-4888-88AD-15F8391B82E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данных'!$K$35:$K$45</c:f>
              <c:numCache>
                <c:formatCode>General</c:formatCode>
                <c:ptCount val="11"/>
                <c:pt idx="0">
                  <c:v>-4.550000187009573E-3</c:v>
                </c:pt>
                <c:pt idx="1">
                  <c:v>0.30260270833969116</c:v>
                </c:pt>
                <c:pt idx="2">
                  <c:v>0.5269508957862854</c:v>
                </c:pt>
                <c:pt idx="3">
                  <c:v>0.67692279815673828</c:v>
                </c:pt>
                <c:pt idx="4">
                  <c:v>0.76884931325912476</c:v>
                </c:pt>
                <c:pt idx="5">
                  <c:v>0.82294100522994995</c:v>
                </c:pt>
                <c:pt idx="6">
                  <c:v>0.85926496982574463</c:v>
                </c:pt>
                <c:pt idx="7">
                  <c:v>0.89372169971466064</c:v>
                </c:pt>
                <c:pt idx="8">
                  <c:v>0.93402248620986938</c:v>
                </c:pt>
                <c:pt idx="9">
                  <c:v>0.9756658673286438</c:v>
                </c:pt>
                <c:pt idx="10">
                  <c:v>0.99791502952575684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0C-4888-88AD-15F8391B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9040"/>
        <c:axId val="-1305876528"/>
      </c:scatterChart>
      <c:valAx>
        <c:axId val="-130588904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6528"/>
        <c:crosses val="autoZero"/>
        <c:crossBetween val="midCat"/>
      </c:valAx>
      <c:valAx>
        <c:axId val="-1305876528"/>
        <c:scaling>
          <c:orientation val="minMax"/>
          <c:max val="1.10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0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2.xm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image" Target="../media/image7.png"/><Relationship Id="rId2" Type="http://schemas.openxmlformats.org/officeDocument/2006/relationships/chart" Target="../charts/chart6.xml"/><Relationship Id="rId1" Type="http://schemas.openxmlformats.org/officeDocument/2006/relationships/image" Target="../media/image2.png"/><Relationship Id="rId6" Type="http://schemas.openxmlformats.org/officeDocument/2006/relationships/chart" Target="../charts/chart8.xml"/><Relationship Id="rId11" Type="http://schemas.openxmlformats.org/officeDocument/2006/relationships/chart" Target="../charts/chart11.xml"/><Relationship Id="rId5" Type="http://schemas.openxmlformats.org/officeDocument/2006/relationships/image" Target="../media/image4.png"/><Relationship Id="rId15" Type="http://schemas.openxmlformats.org/officeDocument/2006/relationships/chart" Target="../charts/chart13.xml"/><Relationship Id="rId10" Type="http://schemas.openxmlformats.org/officeDocument/2006/relationships/image" Target="../media/image6.png"/><Relationship Id="rId4" Type="http://schemas.openxmlformats.org/officeDocument/2006/relationships/chart" Target="../charts/chart7.xml"/><Relationship Id="rId9" Type="http://schemas.openxmlformats.org/officeDocument/2006/relationships/chart" Target="../charts/chart10.xml"/><Relationship Id="rId1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561975</xdr:colOff>
      <xdr:row>28</xdr:row>
      <xdr:rowOff>166687</xdr:rowOff>
    </xdr:from>
    <xdr:to>
      <xdr:col>28</xdr:col>
      <xdr:colOff>257175</xdr:colOff>
      <xdr:row>42</xdr:row>
      <xdr:rowOff>61912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161925</xdr:colOff>
      <xdr:row>47</xdr:row>
      <xdr:rowOff>66674</xdr:rowOff>
    </xdr:from>
    <xdr:to>
      <xdr:col>28</xdr:col>
      <xdr:colOff>466725</xdr:colOff>
      <xdr:row>62</xdr:row>
      <xdr:rowOff>123824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64</xdr:row>
      <xdr:rowOff>95250</xdr:rowOff>
    </xdr:from>
    <xdr:to>
      <xdr:col>28</xdr:col>
      <xdr:colOff>304800</xdr:colOff>
      <xdr:row>78</xdr:row>
      <xdr:rowOff>38100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133350</xdr:colOff>
      <xdr:row>65</xdr:row>
      <xdr:rowOff>57150</xdr:rowOff>
    </xdr:from>
    <xdr:to>
      <xdr:col>19</xdr:col>
      <xdr:colOff>438150</xdr:colOff>
      <xdr:row>79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0.1111</cdr:x>
      <cdr:y>0.74539</cdr:y>
    </cdr:from>
    <cdr:to>
      <cdr:x>0.3111</cdr:x>
      <cdr:y>0.84201</cdr:y>
    </cdr:to>
    <cdr:sp macro="" textlink="">
      <cdr:nvSpPr>
        <cdr:cNvPr id="2" name="TextBox 1"/>
        <cdr:cNvSpPr txBox="1"/>
      </cdr:nvSpPr>
      <cdr:spPr>
        <a:xfrm xmlns:a="http://schemas.openxmlformats.org/drawingml/2006/main" rot="766664">
          <a:off x="507954" y="2044746"/>
          <a:ext cx="914400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0.73481</cdr:x>
      <cdr:y>0.78371</cdr:y>
    </cdr:from>
    <cdr:to>
      <cdr:x>0.87491</cdr:x>
      <cdr:y>0.88034</cdr:y>
    </cdr:to>
    <cdr:sp macro="" textlink="">
      <cdr:nvSpPr>
        <cdr:cNvPr id="3" name="TextBox 1"/>
        <cdr:cNvSpPr txBox="1"/>
      </cdr:nvSpPr>
      <cdr:spPr>
        <a:xfrm xmlns:a="http://schemas.openxmlformats.org/drawingml/2006/main" rot="18935646">
          <a:off x="3359557" y="2149883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0.72153</cdr:x>
      <cdr:y>0.77244</cdr:y>
    </cdr:from>
    <cdr:to>
      <cdr:x>0.86163</cdr:x>
      <cdr:y>0.86907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0630">
          <a:off x="3298825" y="2361768"/>
          <a:ext cx="640534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  <cdr:relSizeAnchor xmlns:cdr="http://schemas.openxmlformats.org/drawingml/2006/chartDrawing">
    <cdr:from>
      <cdr:x>0.09236</cdr:x>
      <cdr:y>0.69901</cdr:y>
    </cdr:from>
    <cdr:to>
      <cdr:x>0.29236</cdr:x>
      <cdr:y>0.79564</cdr:y>
    </cdr:to>
    <cdr:sp macro="" textlink="">
      <cdr:nvSpPr>
        <cdr:cNvPr id="3" name="TextBox 1"/>
        <cdr:cNvSpPr txBox="1"/>
      </cdr:nvSpPr>
      <cdr:spPr>
        <a:xfrm xmlns:a="http://schemas.openxmlformats.org/drawingml/2006/main" rot="986039">
          <a:off x="422274" y="2137239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0.10486</cdr:x>
      <cdr:y>0.66088</cdr:y>
    </cdr:from>
    <cdr:to>
      <cdr:x>0.30486</cdr:x>
      <cdr:y>0.76858</cdr:y>
    </cdr:to>
    <cdr:sp macro="" textlink="">
      <cdr:nvSpPr>
        <cdr:cNvPr id="2" name="TextBox 1"/>
        <cdr:cNvSpPr txBox="1"/>
      </cdr:nvSpPr>
      <cdr:spPr>
        <a:xfrm xmlns:a="http://schemas.openxmlformats.org/drawingml/2006/main" rot="1373220">
          <a:off x="479424" y="1812925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0.66111</cdr:x>
      <cdr:y>0.78935</cdr:y>
    </cdr:from>
    <cdr:to>
      <cdr:x>0.80121</cdr:x>
      <cdr:y>0.88598</cdr:y>
    </cdr:to>
    <cdr:sp macro="" textlink="">
      <cdr:nvSpPr>
        <cdr:cNvPr id="3" name="TextBox 1"/>
        <cdr:cNvSpPr txBox="1"/>
      </cdr:nvSpPr>
      <cdr:spPr>
        <a:xfrm xmlns:a="http://schemas.openxmlformats.org/drawingml/2006/main" rot="20196957">
          <a:off x="3022601" y="2165350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0.46232</cdr:x>
      <cdr:y>0.85023</cdr:y>
    </cdr:from>
    <cdr:to>
      <cdr:x>0.60574</cdr:x>
      <cdr:y>0.95793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3540">
          <a:off x="2113716" y="2332362"/>
          <a:ext cx="65572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0.19236</cdr:x>
      <cdr:y>0.77645</cdr:y>
    </cdr:from>
    <cdr:to>
      <cdr:x>0.33246</cdr:x>
      <cdr:y>0.87308</cdr:y>
    </cdr:to>
    <cdr:sp macro="" textlink="">
      <cdr:nvSpPr>
        <cdr:cNvPr id="3" name="TextBox 1"/>
        <cdr:cNvSpPr txBox="1"/>
      </cdr:nvSpPr>
      <cdr:spPr>
        <a:xfrm xmlns:a="http://schemas.openxmlformats.org/drawingml/2006/main" rot="1125434">
          <a:off x="879475" y="2129956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428171</xdr:colOff>
      <xdr:row>0</xdr:row>
      <xdr:rowOff>0</xdr:rowOff>
    </xdr:from>
    <xdr:ext cx="14030082" cy="9258033"/>
    <xdr:pic>
      <xdr:nvPicPr>
        <xdr:cNvPr id="2" name="Picture 1" descr="Приложение А Принципиальная тепловая схема ПГУ-220">
          <a:extLst>
            <a:ext uri="{FF2B5EF4-FFF2-40B4-BE49-F238E27FC236}">
              <a16:creationId xmlns:a16="http://schemas.microsoft.com/office/drawing/2014/main" id="{6A4F1A7E-D17E-469D-A36D-8F2EB6799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25771" y="0"/>
          <a:ext cx="14030082" cy="92580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14</xdr:col>
      <xdr:colOff>216647</xdr:colOff>
      <xdr:row>67</xdr:row>
      <xdr:rowOff>103840</xdr:rowOff>
    </xdr:from>
    <xdr:to>
      <xdr:col>26</xdr:col>
      <xdr:colOff>552823</xdr:colOff>
      <xdr:row>94</xdr:row>
      <xdr:rowOff>7469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3510AF-D6BF-4879-870E-6B0141F1C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88</xdr:row>
      <xdr:rowOff>161925</xdr:rowOff>
    </xdr:from>
    <xdr:to>
      <xdr:col>4</xdr:col>
      <xdr:colOff>257175</xdr:colOff>
      <xdr:row>89</xdr:row>
      <xdr:rowOff>123825</xdr:rowOff>
    </xdr:to>
    <xdr:sp macro="" textlink="">
      <xdr:nvSpPr>
        <xdr:cNvPr id="2" name="Text Box 6">
          <a:extLst>
            <a:ext uri="{FF2B5EF4-FFF2-40B4-BE49-F238E27FC236}">
              <a16:creationId xmlns:a16="http://schemas.microsoft.com/office/drawing/2014/main" id="{F4BE629B-6B92-4575-BEA7-5CF607309971}"/>
            </a:ext>
          </a:extLst>
        </xdr:cNvPr>
        <xdr:cNvSpPr txBox="1">
          <a:spLocks noChangeArrowheads="1"/>
        </xdr:cNvSpPr>
      </xdr:nvSpPr>
      <xdr:spPr bwMode="auto">
        <a:xfrm>
          <a:off x="3616325" y="22818725"/>
          <a:ext cx="1524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39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351064</xdr:colOff>
      <xdr:row>57</xdr:row>
      <xdr:rowOff>103414</xdr:rowOff>
    </xdr:from>
    <xdr:to>
      <xdr:col>10</xdr:col>
      <xdr:colOff>255179</xdr:colOff>
      <xdr:row>102</xdr:row>
      <xdr:rowOff>107859</xdr:rowOff>
    </xdr:to>
    <xdr:pic>
      <xdr:nvPicPr>
        <xdr:cNvPr id="4" name="Рисунок 3" descr="C:\Users\kindravo\Desktop\2017-08-16 16_43_52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385" y="10961914"/>
          <a:ext cx="5415008" cy="857694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570139</xdr:colOff>
      <xdr:row>57</xdr:row>
      <xdr:rowOff>93890</xdr:rowOff>
    </xdr:from>
    <xdr:to>
      <xdr:col>10</xdr:col>
      <xdr:colOff>195943</xdr:colOff>
      <xdr:row>96</xdr:row>
      <xdr:rowOff>74840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6184</xdr:colOff>
      <xdr:row>107</xdr:row>
      <xdr:rowOff>143495</xdr:rowOff>
    </xdr:from>
    <xdr:to>
      <xdr:col>21</xdr:col>
      <xdr:colOff>413746</xdr:colOff>
      <xdr:row>147</xdr:row>
      <xdr:rowOff>51954</xdr:rowOff>
    </xdr:to>
    <xdr:pic>
      <xdr:nvPicPr>
        <xdr:cNvPr id="5" name="Рисунок 4" descr="C:\Users\kindravo\Desktop\2017-08-16 16_33_18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/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0" t="10301"/>
        <a:stretch/>
      </xdr:blipFill>
      <xdr:spPr bwMode="auto">
        <a:xfrm>
          <a:off x="7279820" y="20526995"/>
          <a:ext cx="5862790" cy="75284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12</xdr:col>
      <xdr:colOff>4823</xdr:colOff>
      <xdr:row>107</xdr:row>
      <xdr:rowOff>133164</xdr:rowOff>
    </xdr:from>
    <xdr:to>
      <xdr:col>21</xdr:col>
      <xdr:colOff>382358</xdr:colOff>
      <xdr:row>142</xdr:row>
      <xdr:rowOff>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254579</xdr:colOff>
      <xdr:row>57</xdr:row>
      <xdr:rowOff>87457</xdr:rowOff>
    </xdr:from>
    <xdr:to>
      <xdr:col>21</xdr:col>
      <xdr:colOff>591400</xdr:colOff>
      <xdr:row>102</xdr:row>
      <xdr:rowOff>40467</xdr:rowOff>
    </xdr:to>
    <xdr:pic>
      <xdr:nvPicPr>
        <xdr:cNvPr id="7" name="Рисунок 6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8215" y="10945957"/>
          <a:ext cx="5792049" cy="8525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12</xdr:col>
      <xdr:colOff>277711</xdr:colOff>
      <xdr:row>57</xdr:row>
      <xdr:rowOff>28946</xdr:rowOff>
    </xdr:from>
    <xdr:to>
      <xdr:col>21</xdr:col>
      <xdr:colOff>577067</xdr:colOff>
      <xdr:row>96</xdr:row>
      <xdr:rowOff>9896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304800</xdr:colOff>
      <xdr:row>107</xdr:row>
      <xdr:rowOff>60512</xdr:rowOff>
    </xdr:from>
    <xdr:to>
      <xdr:col>10</xdr:col>
      <xdr:colOff>104513</xdr:colOff>
      <xdr:row>150</xdr:row>
      <xdr:rowOff>140522</xdr:rowOff>
    </xdr:to>
    <xdr:pic>
      <xdr:nvPicPr>
        <xdr:cNvPr id="11" name="Рисунок 10" descr="C:\Users\kindravo\Desktop\2017-08-16 16_36_11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20444012"/>
          <a:ext cx="5895713" cy="8271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316007</xdr:colOff>
      <xdr:row>107</xdr:row>
      <xdr:rowOff>38100</xdr:rowOff>
    </xdr:from>
    <xdr:to>
      <xdr:col>10</xdr:col>
      <xdr:colOff>103094</xdr:colOff>
      <xdr:row>145</xdr:row>
      <xdr:rowOff>105335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23</xdr:col>
      <xdr:colOff>317966</xdr:colOff>
      <xdr:row>56</xdr:row>
      <xdr:rowOff>155482</xdr:rowOff>
    </xdr:from>
    <xdr:to>
      <xdr:col>33</xdr:col>
      <xdr:colOff>100497</xdr:colOff>
      <xdr:row>101</xdr:row>
      <xdr:rowOff>108493</xdr:rowOff>
    </xdr:to>
    <xdr:pic>
      <xdr:nvPicPr>
        <xdr:cNvPr id="13" name="Рисунок 12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7841" y="10823482"/>
          <a:ext cx="5973781" cy="852551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23</xdr:col>
      <xdr:colOff>169487</xdr:colOff>
      <xdr:row>57</xdr:row>
      <xdr:rowOff>133071</xdr:rowOff>
    </xdr:from>
    <xdr:to>
      <xdr:col>33</xdr:col>
      <xdr:colOff>102252</xdr:colOff>
      <xdr:row>96</xdr:row>
      <xdr:rowOff>9807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23</xdr:col>
      <xdr:colOff>533400</xdr:colOff>
      <xdr:row>106</xdr:row>
      <xdr:rowOff>38100</xdr:rowOff>
    </xdr:from>
    <xdr:to>
      <xdr:col>32</xdr:col>
      <xdr:colOff>219373</xdr:colOff>
      <xdr:row>146</xdr:row>
      <xdr:rowOff>113030</xdr:rowOff>
    </xdr:to>
    <xdr:pic>
      <xdr:nvPicPr>
        <xdr:cNvPr id="17" name="Рисунок 16" descr="C:\Users\kindravo\Desktop\2017-08-16 16_56_09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/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60" b="636"/>
        <a:stretch/>
      </xdr:blipFill>
      <xdr:spPr bwMode="auto">
        <a:xfrm>
          <a:off x="14554200" y="20231100"/>
          <a:ext cx="5172373" cy="76949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23</xdr:col>
      <xdr:colOff>544606</xdr:colOff>
      <xdr:row>106</xdr:row>
      <xdr:rowOff>38100</xdr:rowOff>
    </xdr:from>
    <xdr:to>
      <xdr:col>32</xdr:col>
      <xdr:colOff>237564</xdr:colOff>
      <xdr:row>141</xdr:row>
      <xdr:rowOff>172571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34</xdr:col>
      <xdr:colOff>224518</xdr:colOff>
      <xdr:row>61</xdr:row>
      <xdr:rowOff>37419</xdr:rowOff>
    </xdr:from>
    <xdr:to>
      <xdr:col>43</xdr:col>
      <xdr:colOff>2577</xdr:colOff>
      <xdr:row>101</xdr:row>
      <xdr:rowOff>94569</xdr:rowOff>
    </xdr:to>
    <xdr:pic>
      <xdr:nvPicPr>
        <xdr:cNvPr id="15" name="Рисунок 14" descr="C:\Users\kindravo\Desktop\2017-08-16 17_06_07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4768" y="11657919"/>
          <a:ext cx="5336177" cy="76771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34</xdr:col>
      <xdr:colOff>278947</xdr:colOff>
      <xdr:row>61</xdr:row>
      <xdr:rowOff>119062</xdr:rowOff>
    </xdr:from>
    <xdr:to>
      <xdr:col>42</xdr:col>
      <xdr:colOff>588309</xdr:colOff>
      <xdr:row>97</xdr:row>
      <xdr:rowOff>63033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14</xdr:col>
      <xdr:colOff>0</xdr:colOff>
      <xdr:row>2</xdr:row>
      <xdr:rowOff>0</xdr:rowOff>
    </xdr:from>
    <xdr:to>
      <xdr:col>22</xdr:col>
      <xdr:colOff>57150</xdr:colOff>
      <xdr:row>46</xdr:row>
      <xdr:rowOff>19050</xdr:rowOff>
    </xdr:to>
    <xdr:pic>
      <xdr:nvPicPr>
        <xdr:cNvPr id="19" name="Рисунок 18" descr="C:\Users\kindravo\Desktop\2017-08-16 17_11_04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/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1647" y="381000"/>
          <a:ext cx="4898091" cy="84010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14</xdr:col>
      <xdr:colOff>257735</xdr:colOff>
      <xdr:row>1</xdr:row>
      <xdr:rowOff>134470</xdr:rowOff>
    </xdr:from>
    <xdr:to>
      <xdr:col>22</xdr:col>
      <xdr:colOff>67236</xdr:colOff>
      <xdr:row>40</xdr:row>
      <xdr:rowOff>115420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mployee3/AppData/Roaming/Microsoft/AddIns/CoolProp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aumov%20VY\GZ\2022\Model\&#1055;&#1043;&#1059;-220&#105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</sheetNames>
    <definedNames>
      <definedName name="MixtureString"/>
      <definedName name="PropsSI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 ПГУ ISO"/>
    </sheetNames>
    <sheetDataSet>
      <sheetData sheetId="0">
        <row r="86">
          <cell r="C86">
            <v>75.27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T61"/>
  <sheetViews>
    <sheetView zoomScale="70" zoomScaleNormal="70" workbookViewId="0">
      <selection activeCell="B2" sqref="B2"/>
    </sheetView>
  </sheetViews>
  <sheetFormatPr defaultRowHeight="15.5" x14ac:dyDescent="0.35"/>
  <cols>
    <col min="1" max="1" width="48.453125" customWidth="1"/>
    <col min="3" max="3" width="10.1796875" customWidth="1"/>
    <col min="4" max="10" width="9.1796875" style="36"/>
  </cols>
  <sheetData>
    <row r="1" spans="1:15" s="2" customFormat="1" ht="16" thickBot="1" x14ac:dyDescent="0.4">
      <c r="A1" s="270" t="s">
        <v>253</v>
      </c>
      <c r="B1" s="271"/>
      <c r="D1" s="37"/>
      <c r="E1" s="37"/>
      <c r="F1" s="37"/>
      <c r="G1" s="37"/>
      <c r="H1" s="37"/>
      <c r="I1" s="37"/>
      <c r="J1" s="37"/>
    </row>
    <row r="2" spans="1:15" ht="16" thickBot="1" x14ac:dyDescent="0.4">
      <c r="A2" s="5" t="s">
        <v>10</v>
      </c>
      <c r="B2" s="6">
        <v>152.94999999999999</v>
      </c>
      <c r="D2" s="272" t="s">
        <v>256</v>
      </c>
      <c r="E2" s="273"/>
      <c r="F2" s="273"/>
      <c r="G2" s="273"/>
      <c r="H2" s="273"/>
      <c r="I2" s="273"/>
      <c r="J2" s="274"/>
    </row>
    <row r="3" spans="1:15" x14ac:dyDescent="0.35">
      <c r="A3" s="7" t="s">
        <v>11</v>
      </c>
      <c r="B3" s="8">
        <v>33.765000000000001</v>
      </c>
      <c r="D3" s="275" t="s">
        <v>10</v>
      </c>
      <c r="E3" s="276"/>
      <c r="F3" s="276"/>
      <c r="G3" s="276"/>
      <c r="H3" s="276"/>
      <c r="I3" s="276"/>
      <c r="J3" s="277"/>
      <c r="L3" t="s">
        <v>258</v>
      </c>
      <c r="M3" t="s">
        <v>259</v>
      </c>
      <c r="N3" t="s">
        <v>260</v>
      </c>
    </row>
    <row r="4" spans="1:15" x14ac:dyDescent="0.35">
      <c r="A4" s="7" t="s">
        <v>14</v>
      </c>
      <c r="B4" s="8">
        <v>506.4</v>
      </c>
      <c r="D4" s="32"/>
      <c r="E4" s="24">
        <v>-40</v>
      </c>
      <c r="F4" s="24">
        <v>-28</v>
      </c>
      <c r="G4" s="24">
        <v>-10.199999999999999</v>
      </c>
      <c r="H4" s="24">
        <v>-3.1</v>
      </c>
      <c r="I4" s="24">
        <v>15</v>
      </c>
      <c r="J4" s="28">
        <v>37</v>
      </c>
      <c r="L4" s="40">
        <v>155.30000000000001</v>
      </c>
      <c r="M4" s="40">
        <v>150.6</v>
      </c>
      <c r="N4" s="41">
        <f>(L4+M4)/2</f>
        <v>152.94999999999999</v>
      </c>
      <c r="O4" s="41">
        <f>(L4+N4)/2</f>
        <v>154.125</v>
      </c>
    </row>
    <row r="5" spans="1:15" ht="16" thickBot="1" x14ac:dyDescent="0.4">
      <c r="A5" s="9" t="s">
        <v>15</v>
      </c>
      <c r="B5" s="10">
        <v>539.54999999999995</v>
      </c>
      <c r="D5" s="32">
        <v>1</v>
      </c>
      <c r="E5" s="24">
        <v>170</v>
      </c>
      <c r="F5" s="24">
        <v>170</v>
      </c>
      <c r="G5" s="24">
        <v>169.4</v>
      </c>
      <c r="H5" s="24">
        <v>163.5</v>
      </c>
      <c r="I5" s="24">
        <v>148.19999999999999</v>
      </c>
      <c r="J5" s="28">
        <v>128.6</v>
      </c>
      <c r="L5" s="40">
        <v>34.119999999999997</v>
      </c>
      <c r="M5" s="40">
        <v>33.409999999999997</v>
      </c>
      <c r="N5" s="41">
        <f t="shared" ref="N5:N7" si="0">(L5+M5)/2</f>
        <v>33.765000000000001</v>
      </c>
      <c r="O5" s="41">
        <f t="shared" ref="O5:O7" si="1">(L5+N5)/2</f>
        <v>33.942499999999995</v>
      </c>
    </row>
    <row r="6" spans="1:15" ht="16" thickBot="1" x14ac:dyDescent="0.4">
      <c r="A6" s="278" t="s">
        <v>230</v>
      </c>
      <c r="B6" s="279"/>
      <c r="D6" s="32">
        <v>0.75</v>
      </c>
      <c r="E6" s="24">
        <v>127.3</v>
      </c>
      <c r="F6" s="24">
        <v>127.3</v>
      </c>
      <c r="G6" s="24">
        <v>127.3</v>
      </c>
      <c r="H6" s="24">
        <v>123.6</v>
      </c>
      <c r="I6" s="24">
        <v>111.9</v>
      </c>
      <c r="J6" s="28">
        <v>96.9</v>
      </c>
      <c r="L6" s="40">
        <v>509</v>
      </c>
      <c r="M6" s="40">
        <v>503.8</v>
      </c>
      <c r="N6" s="41">
        <f t="shared" si="0"/>
        <v>506.4</v>
      </c>
      <c r="O6" s="41">
        <f t="shared" si="1"/>
        <v>507.7</v>
      </c>
    </row>
    <row r="7" spans="1:15" x14ac:dyDescent="0.35">
      <c r="A7" s="11" t="s">
        <v>231</v>
      </c>
      <c r="B7" s="12">
        <v>0.5</v>
      </c>
      <c r="D7" s="32">
        <v>0.5</v>
      </c>
      <c r="E7" s="24">
        <v>84.5</v>
      </c>
      <c r="F7" s="24">
        <v>84.5</v>
      </c>
      <c r="G7" s="24">
        <v>84.5</v>
      </c>
      <c r="H7" s="24">
        <v>82.6</v>
      </c>
      <c r="I7" s="24">
        <v>74.7</v>
      </c>
      <c r="J7" s="28">
        <v>64.5</v>
      </c>
      <c r="L7" s="40">
        <v>537</v>
      </c>
      <c r="M7" s="40">
        <v>542.1</v>
      </c>
      <c r="N7" s="41">
        <f t="shared" si="0"/>
        <v>539.54999999999995</v>
      </c>
      <c r="O7" s="41">
        <f t="shared" si="1"/>
        <v>538.27499999999998</v>
      </c>
    </row>
    <row r="8" spans="1:15" s="4" customFormat="1" x14ac:dyDescent="0.35">
      <c r="A8" s="13" t="s">
        <v>232</v>
      </c>
      <c r="B8" s="14">
        <v>37</v>
      </c>
      <c r="C8"/>
      <c r="D8" s="29"/>
      <c r="E8" s="30"/>
      <c r="F8" s="30"/>
      <c r="G8" s="30"/>
      <c r="H8" s="30"/>
      <c r="I8" s="30"/>
      <c r="J8" s="31"/>
      <c r="K8"/>
      <c r="L8"/>
      <c r="M8"/>
      <c r="N8"/>
    </row>
    <row r="9" spans="1:15" x14ac:dyDescent="0.35">
      <c r="A9" s="15" t="s">
        <v>251</v>
      </c>
      <c r="B9" s="16">
        <v>0</v>
      </c>
      <c r="C9" s="4"/>
      <c r="D9" s="29"/>
      <c r="E9" s="30"/>
      <c r="F9" s="30"/>
      <c r="G9" s="30"/>
      <c r="H9" s="30"/>
      <c r="I9" s="30"/>
      <c r="J9" s="31"/>
      <c r="K9" s="4"/>
      <c r="L9" s="4"/>
      <c r="M9" s="4"/>
      <c r="N9" s="4"/>
    </row>
    <row r="10" spans="1:15" s="4" customFormat="1" ht="16" thickBot="1" x14ac:dyDescent="0.4">
      <c r="A10" s="25" t="s">
        <v>252</v>
      </c>
      <c r="B10" s="26">
        <v>20</v>
      </c>
      <c r="D10" s="29"/>
      <c r="E10" s="30"/>
      <c r="F10" s="30"/>
      <c r="G10" s="30"/>
      <c r="H10" s="30"/>
      <c r="I10" s="30"/>
      <c r="J10" s="31"/>
    </row>
    <row r="11" spans="1:15" s="4" customFormat="1" ht="16" thickBot="1" x14ac:dyDescent="0.4">
      <c r="A11" s="280" t="s">
        <v>254</v>
      </c>
      <c r="B11" s="281"/>
      <c r="D11" s="282" t="s">
        <v>11</v>
      </c>
      <c r="E11" s="283"/>
      <c r="F11" s="283"/>
      <c r="G11" s="283"/>
      <c r="H11" s="283"/>
      <c r="I11" s="283"/>
      <c r="J11" s="284"/>
    </row>
    <row r="12" spans="1:15" x14ac:dyDescent="0.35">
      <c r="A12" s="11" t="s">
        <v>238</v>
      </c>
      <c r="B12" s="12">
        <f>n_gtu_tatm(B8)</f>
        <v>0.86900001764297485</v>
      </c>
      <c r="D12" s="32"/>
      <c r="E12" s="24">
        <v>-40</v>
      </c>
      <c r="F12" s="24">
        <v>-28</v>
      </c>
      <c r="G12" s="24">
        <v>-10.199999999999999</v>
      </c>
      <c r="H12" s="24">
        <v>-3.1</v>
      </c>
      <c r="I12" s="24">
        <v>15</v>
      </c>
      <c r="J12" s="28">
        <v>37</v>
      </c>
    </row>
    <row r="13" spans="1:15" x14ac:dyDescent="0.35">
      <c r="A13" s="13" t="s">
        <v>239</v>
      </c>
      <c r="B13" s="14">
        <f>n_gtu_pin(B9)</f>
        <v>1</v>
      </c>
      <c r="D13" s="32">
        <v>1</v>
      </c>
      <c r="E13" s="24">
        <v>34.520000000000003</v>
      </c>
      <c r="F13" s="24">
        <v>34.5</v>
      </c>
      <c r="G13" s="24">
        <v>34.36</v>
      </c>
      <c r="H13" s="24">
        <v>34.15</v>
      </c>
      <c r="I13" s="24">
        <v>33.44</v>
      </c>
      <c r="J13" s="28">
        <v>32.15</v>
      </c>
    </row>
    <row r="14" spans="1:15" x14ac:dyDescent="0.35">
      <c r="A14" s="13" t="s">
        <v>240</v>
      </c>
      <c r="B14" s="14">
        <f>n_gtu_pout(B10)</f>
        <v>0.98900002241134644</v>
      </c>
      <c r="D14" s="32">
        <v>0.75</v>
      </c>
      <c r="E14" s="24">
        <v>32.229999999999997</v>
      </c>
      <c r="F14" s="24">
        <v>32.22</v>
      </c>
      <c r="G14" s="24">
        <v>32.15</v>
      </c>
      <c r="H14" s="24">
        <v>31.94</v>
      </c>
      <c r="I14" s="24">
        <v>31.26</v>
      </c>
      <c r="J14" s="28">
        <v>30.02</v>
      </c>
    </row>
    <row r="15" spans="1:15" x14ac:dyDescent="0.35">
      <c r="A15" s="13" t="s">
        <v>237</v>
      </c>
      <c r="B15" s="14">
        <f>gkt_gtu_tatm(B8)</f>
        <v>0.91202712059020996</v>
      </c>
      <c r="D15" s="32">
        <v>0.5</v>
      </c>
      <c r="E15" s="24">
        <v>27.83</v>
      </c>
      <c r="F15" s="24">
        <v>27.82</v>
      </c>
      <c r="G15" s="24">
        <v>27.79</v>
      </c>
      <c r="H15" s="24">
        <v>27.61</v>
      </c>
      <c r="I15" s="24">
        <v>27.02</v>
      </c>
      <c r="J15" s="28">
        <v>25.93</v>
      </c>
    </row>
    <row r="16" spans="1:15" x14ac:dyDescent="0.35">
      <c r="A16" s="13" t="s">
        <v>241</v>
      </c>
      <c r="B16" s="14">
        <f>gkt_gtu_n(B7)</f>
        <v>0.69450002908706665</v>
      </c>
      <c r="D16" s="29"/>
      <c r="E16" s="30"/>
      <c r="F16" s="30"/>
      <c r="G16" s="30"/>
      <c r="H16" s="30"/>
      <c r="I16" s="30"/>
      <c r="J16" s="31"/>
    </row>
    <row r="17" spans="1:10" x14ac:dyDescent="0.35">
      <c r="A17" s="13" t="s">
        <v>242</v>
      </c>
      <c r="B17" s="14">
        <f>gkt_gtu_pin(B9)</f>
        <v>1</v>
      </c>
      <c r="D17" s="29"/>
      <c r="E17" s="30"/>
      <c r="F17" s="30"/>
      <c r="G17" s="30"/>
      <c r="H17" s="30"/>
      <c r="I17" s="30"/>
      <c r="J17" s="31"/>
    </row>
    <row r="18" spans="1:10" x14ac:dyDescent="0.35">
      <c r="A18" s="13" t="s">
        <v>246</v>
      </c>
      <c r="B18" s="14">
        <f>tkt_gtu_tatm(B8)</f>
        <v>1.0280686616897583</v>
      </c>
      <c r="D18" s="29"/>
      <c r="E18" s="30"/>
      <c r="F18" s="30"/>
      <c r="G18" s="30"/>
      <c r="H18" s="30"/>
      <c r="I18" s="30"/>
      <c r="J18" s="31"/>
    </row>
    <row r="19" spans="1:10" x14ac:dyDescent="0.35">
      <c r="A19" s="13" t="s">
        <v>243</v>
      </c>
      <c r="B19" s="14">
        <f>tkt_gtu_n(B7)</f>
        <v>0.96950000524520874</v>
      </c>
      <c r="D19" s="282" t="s">
        <v>14</v>
      </c>
      <c r="E19" s="283"/>
      <c r="F19" s="283"/>
      <c r="G19" s="283"/>
      <c r="H19" s="283"/>
      <c r="I19" s="283"/>
      <c r="J19" s="284"/>
    </row>
    <row r="20" spans="1:10" x14ac:dyDescent="0.35">
      <c r="A20" s="13" t="s">
        <v>244</v>
      </c>
      <c r="B20" s="14">
        <f>tkt_gtu_pin(B9)</f>
        <v>1</v>
      </c>
      <c r="D20" s="32"/>
      <c r="E20" s="24">
        <v>-40</v>
      </c>
      <c r="F20" s="24">
        <v>-28</v>
      </c>
      <c r="G20" s="24">
        <v>-10.199999999999999</v>
      </c>
      <c r="H20" s="24">
        <v>-3.1</v>
      </c>
      <c r="I20" s="24">
        <v>15</v>
      </c>
      <c r="J20" s="28">
        <v>37</v>
      </c>
    </row>
    <row r="21" spans="1:10" x14ac:dyDescent="0.35">
      <c r="A21" s="13" t="s">
        <v>245</v>
      </c>
      <c r="B21" s="14">
        <f>tkt_gtu_pout(B10)</f>
        <v>1.0053399801254272</v>
      </c>
      <c r="D21" s="32">
        <v>1</v>
      </c>
      <c r="E21" s="24">
        <v>513.6</v>
      </c>
      <c r="F21" s="24">
        <v>521</v>
      </c>
      <c r="G21" s="24">
        <v>531.5</v>
      </c>
      <c r="H21" s="24">
        <v>522</v>
      </c>
      <c r="I21" s="24">
        <v>494.6</v>
      </c>
      <c r="J21" s="28">
        <v>452.1</v>
      </c>
    </row>
    <row r="22" spans="1:10" x14ac:dyDescent="0.35">
      <c r="A22" s="13" t="s">
        <v>250</v>
      </c>
      <c r="B22" s="14">
        <f>eff_GTU_tatm(B8)</f>
        <v>0.95632767677307129</v>
      </c>
      <c r="D22" s="32">
        <v>0.75</v>
      </c>
      <c r="E22" s="24">
        <v>431.4</v>
      </c>
      <c r="F22" s="24">
        <v>437.5</v>
      </c>
      <c r="G22" s="24">
        <v>447.6</v>
      </c>
      <c r="H22" s="24">
        <v>441.4</v>
      </c>
      <c r="I22" s="24">
        <v>418.2</v>
      </c>
      <c r="J22" s="28">
        <v>382</v>
      </c>
    </row>
    <row r="23" spans="1:10" x14ac:dyDescent="0.35">
      <c r="A23" s="13" t="s">
        <v>247</v>
      </c>
      <c r="B23" s="14">
        <f>eff_gtu_n(B7)</f>
        <v>0.82294100522994995</v>
      </c>
      <c r="D23" s="32">
        <v>0.5</v>
      </c>
      <c r="E23" s="24">
        <v>357</v>
      </c>
      <c r="F23" s="24">
        <v>362</v>
      </c>
      <c r="G23" s="24">
        <v>370.2</v>
      </c>
      <c r="H23" s="24">
        <v>367.2</v>
      </c>
      <c r="I23" s="24">
        <v>347.7</v>
      </c>
      <c r="J23" s="28">
        <v>317.60000000000002</v>
      </c>
    </row>
    <row r="24" spans="1:10" x14ac:dyDescent="0.35">
      <c r="A24" s="13" t="s">
        <v>248</v>
      </c>
      <c r="B24" s="14">
        <f>eff_gtu_pin(B9)</f>
        <v>1</v>
      </c>
      <c r="D24" s="29"/>
      <c r="E24" s="30"/>
      <c r="F24" s="30"/>
      <c r="G24" s="30"/>
      <c r="H24" s="30"/>
      <c r="I24" s="30"/>
      <c r="J24" s="31"/>
    </row>
    <row r="25" spans="1:10" ht="16" thickBot="1" x14ac:dyDescent="0.4">
      <c r="A25" s="17" t="s">
        <v>249</v>
      </c>
      <c r="B25" s="18">
        <f>eff_gtu_pout(B10)</f>
        <v>0.98900002241134644</v>
      </c>
      <c r="D25" s="29"/>
      <c r="E25" s="30"/>
      <c r="F25" s="30"/>
      <c r="G25" s="30"/>
      <c r="H25" s="30"/>
      <c r="I25" s="30"/>
      <c r="J25" s="31"/>
    </row>
    <row r="26" spans="1:10" ht="16" thickBot="1" x14ac:dyDescent="0.4">
      <c r="A26" s="285" t="s">
        <v>255</v>
      </c>
      <c r="B26" s="286"/>
      <c r="D26" s="29"/>
      <c r="E26" s="30"/>
      <c r="F26" s="30"/>
      <c r="G26" s="30"/>
      <c r="H26" s="30"/>
      <c r="I26" s="30"/>
      <c r="J26" s="31"/>
    </row>
    <row r="27" spans="1:10" x14ac:dyDescent="0.35">
      <c r="A27" s="5" t="s">
        <v>10</v>
      </c>
      <c r="B27" s="19">
        <f>B2*B12*B13*B14*B7</f>
        <v>65.725753298790622</v>
      </c>
      <c r="D27" s="282" t="s">
        <v>15</v>
      </c>
      <c r="E27" s="283"/>
      <c r="F27" s="283"/>
      <c r="G27" s="283"/>
      <c r="H27" s="283"/>
      <c r="I27" s="283"/>
      <c r="J27" s="284"/>
    </row>
    <row r="28" spans="1:10" x14ac:dyDescent="0.35">
      <c r="A28" s="7" t="s">
        <v>11</v>
      </c>
      <c r="B28" s="20">
        <f>B3*B23*B24*B25*B22</f>
        <v>26.280794054863541</v>
      </c>
      <c r="D28" s="32"/>
      <c r="E28" s="24">
        <v>-40</v>
      </c>
      <c r="F28" s="24">
        <v>-28</v>
      </c>
      <c r="G28" s="24">
        <v>-10.199999999999999</v>
      </c>
      <c r="H28" s="24">
        <v>-3.1</v>
      </c>
      <c r="I28" s="24">
        <v>15</v>
      </c>
      <c r="J28" s="28">
        <v>37</v>
      </c>
    </row>
    <row r="29" spans="1:10" x14ac:dyDescent="0.35">
      <c r="A29" s="7" t="s">
        <v>14</v>
      </c>
      <c r="B29" s="20">
        <f>B15*B16*B17*B4</f>
        <v>320.75520920442705</v>
      </c>
      <c r="D29" s="32">
        <v>1</v>
      </c>
      <c r="E29" s="24">
        <v>523.5</v>
      </c>
      <c r="F29" s="24">
        <v>527.29999999999995</v>
      </c>
      <c r="G29" s="24">
        <v>532.9</v>
      </c>
      <c r="H29" s="24">
        <v>535</v>
      </c>
      <c r="I29" s="24">
        <v>542.20000000000005</v>
      </c>
      <c r="J29" s="28">
        <v>557.9</v>
      </c>
    </row>
    <row r="30" spans="1:10" ht="16" thickBot="1" x14ac:dyDescent="0.4">
      <c r="A30" s="9" t="s">
        <v>15</v>
      </c>
      <c r="B30" s="21">
        <f>B5*B19*B20*B21*B18</f>
        <v>540.64798329537859</v>
      </c>
      <c r="D30" s="32">
        <v>0.75</v>
      </c>
      <c r="E30" s="24">
        <v>522.1</v>
      </c>
      <c r="F30" s="24">
        <v>525.9</v>
      </c>
      <c r="G30" s="24">
        <v>531.4</v>
      </c>
      <c r="H30" s="24">
        <v>533.6</v>
      </c>
      <c r="I30" s="24">
        <v>540.9</v>
      </c>
      <c r="J30" s="28">
        <v>556.70000000000005</v>
      </c>
    </row>
    <row r="31" spans="1:10" ht="16" thickBot="1" x14ac:dyDescent="0.4">
      <c r="D31" s="33">
        <v>0.5</v>
      </c>
      <c r="E31" s="34">
        <v>510.4</v>
      </c>
      <c r="F31" s="34">
        <v>514.1</v>
      </c>
      <c r="G31" s="34">
        <v>519.4</v>
      </c>
      <c r="H31" s="34">
        <v>521.6</v>
      </c>
      <c r="I31" s="34">
        <v>528.9</v>
      </c>
      <c r="J31" s="35">
        <v>544.5</v>
      </c>
    </row>
    <row r="38" spans="4:20" ht="16" thickBot="1" x14ac:dyDescent="0.4"/>
    <row r="39" spans="4:20" ht="16" thickBot="1" x14ac:dyDescent="0.4">
      <c r="D39" s="272" t="s">
        <v>261</v>
      </c>
      <c r="E39" s="273"/>
      <c r="F39" s="273"/>
      <c r="G39" s="273"/>
      <c r="H39" s="273"/>
      <c r="I39" s="273"/>
      <c r="J39" s="273"/>
      <c r="K39" s="273"/>
      <c r="L39" s="273"/>
      <c r="M39" s="273"/>
      <c r="N39" s="273"/>
      <c r="O39" s="273"/>
      <c r="P39" s="273"/>
      <c r="Q39" s="273"/>
      <c r="R39" s="273"/>
      <c r="S39" s="274"/>
    </row>
    <row r="40" spans="4:20" ht="16" thickBot="1" x14ac:dyDescent="0.4"/>
    <row r="41" spans="4:20" x14ac:dyDescent="0.35">
      <c r="D41" s="275" t="s">
        <v>10</v>
      </c>
      <c r="E41" s="276"/>
      <c r="F41" s="276"/>
      <c r="G41" s="276"/>
      <c r="H41" s="276"/>
      <c r="I41" s="276"/>
      <c r="J41" s="277"/>
      <c r="M41" s="275" t="s">
        <v>10</v>
      </c>
      <c r="N41" s="276"/>
      <c r="O41" s="276"/>
      <c r="P41" s="276"/>
      <c r="Q41" s="276"/>
      <c r="R41" s="276"/>
      <c r="S41" s="277"/>
    </row>
    <row r="42" spans="4:20" x14ac:dyDescent="0.35">
      <c r="E42" s="24">
        <v>-40</v>
      </c>
      <c r="F42" s="24">
        <v>-28</v>
      </c>
      <c r="G42" s="24">
        <v>-10.199999999999999</v>
      </c>
      <c r="H42" s="24">
        <v>-3.1</v>
      </c>
      <c r="I42" s="24">
        <v>15</v>
      </c>
      <c r="J42" s="28">
        <v>37</v>
      </c>
      <c r="M42" s="36"/>
      <c r="N42" s="24">
        <v>-40</v>
      </c>
      <c r="O42" s="24">
        <v>-28</v>
      </c>
      <c r="P42" s="24">
        <v>-10.199999999999999</v>
      </c>
      <c r="Q42" s="24">
        <v>-3.1</v>
      </c>
      <c r="R42" s="24">
        <v>15</v>
      </c>
      <c r="S42" s="28">
        <v>37</v>
      </c>
    </row>
    <row r="43" spans="4:20" x14ac:dyDescent="0.35">
      <c r="D43" s="32">
        <v>1</v>
      </c>
      <c r="E43" s="38">
        <v>166.3943123770965</v>
      </c>
      <c r="F43" s="38">
        <v>166.3943123770965</v>
      </c>
      <c r="G43" s="38">
        <v>166.3943123770965</v>
      </c>
      <c r="H43" s="38">
        <v>166.3943123770965</v>
      </c>
      <c r="I43" s="38">
        <v>151.4188280499823</v>
      </c>
      <c r="J43" s="38">
        <v>131.45150659758124</v>
      </c>
      <c r="M43" s="32">
        <v>1</v>
      </c>
      <c r="N43" s="38">
        <f>ABS(E43-E5)/E5*100</f>
        <v>2.1209927193550016</v>
      </c>
      <c r="O43" s="38">
        <f t="shared" ref="O43:S45" si="2">ABS(F43-F5)/F5*100</f>
        <v>2.1209927193550016</v>
      </c>
      <c r="P43" s="38">
        <f t="shared" si="2"/>
        <v>1.7743138269796388</v>
      </c>
      <c r="Q43" s="38">
        <f t="shared" si="2"/>
        <v>1.7702216373678883</v>
      </c>
      <c r="R43" s="38">
        <f t="shared" si="2"/>
        <v>2.1719487516749707</v>
      </c>
      <c r="S43" s="38">
        <f t="shared" si="2"/>
        <v>2.2173457212917955</v>
      </c>
      <c r="T43" s="39">
        <f>MAX(N43:S43)</f>
        <v>2.2173457212917955</v>
      </c>
    </row>
    <row r="44" spans="4:20" x14ac:dyDescent="0.35">
      <c r="D44" s="32">
        <v>0.75</v>
      </c>
      <c r="E44" s="38">
        <v>124.79573428282237</v>
      </c>
      <c r="F44" s="38">
        <v>124.79573428282237</v>
      </c>
      <c r="G44" s="38">
        <v>124.79573428282237</v>
      </c>
      <c r="H44" s="38">
        <v>124.79573428282237</v>
      </c>
      <c r="I44" s="38">
        <v>113.56412103748673</v>
      </c>
      <c r="J44" s="38">
        <v>98.58862994818594</v>
      </c>
      <c r="M44" s="32">
        <v>0.75</v>
      </c>
      <c r="N44" s="38">
        <f t="shared" ref="N44:N45" si="3">ABS(E44-E6)/E6*100</f>
        <v>1.9672158029675029</v>
      </c>
      <c r="O44" s="38">
        <f t="shared" si="2"/>
        <v>1.9672158029675029</v>
      </c>
      <c r="P44" s="38">
        <f t="shared" si="2"/>
        <v>1.9672158029675029</v>
      </c>
      <c r="Q44" s="38">
        <f t="shared" si="2"/>
        <v>0.9674225589177764</v>
      </c>
      <c r="R44" s="38">
        <f t="shared" si="2"/>
        <v>1.4871501675484564</v>
      </c>
      <c r="S44" s="38">
        <f t="shared" si="2"/>
        <v>1.7426521653105611</v>
      </c>
      <c r="T44" s="39">
        <f t="shared" ref="T44:T45" si="4">MAX(N44:S44)</f>
        <v>1.9672158029675029</v>
      </c>
    </row>
    <row r="45" spans="4:20" x14ac:dyDescent="0.35">
      <c r="D45" s="32">
        <v>0.5</v>
      </c>
      <c r="E45" s="38">
        <v>83.197156188548249</v>
      </c>
      <c r="F45" s="38">
        <v>83.197156188548249</v>
      </c>
      <c r="G45" s="38">
        <v>83.197156188548249</v>
      </c>
      <c r="H45" s="38">
        <v>83.197156188548249</v>
      </c>
      <c r="I45" s="38">
        <v>75.709414024991148</v>
      </c>
      <c r="J45" s="38">
        <v>65.725753298790622</v>
      </c>
      <c r="M45" s="32">
        <v>0.5</v>
      </c>
      <c r="N45" s="38">
        <f t="shared" si="3"/>
        <v>1.541826995800889</v>
      </c>
      <c r="O45" s="38">
        <f t="shared" si="2"/>
        <v>1.541826995800889</v>
      </c>
      <c r="P45" s="38">
        <f t="shared" si="2"/>
        <v>1.541826995800889</v>
      </c>
      <c r="Q45" s="38">
        <f t="shared" si="2"/>
        <v>0.72294938080902471</v>
      </c>
      <c r="R45" s="38">
        <f t="shared" si="2"/>
        <v>1.3512905287699395</v>
      </c>
      <c r="S45" s="38">
        <f t="shared" si="2"/>
        <v>1.9003927113032892</v>
      </c>
      <c r="T45" s="39">
        <f t="shared" si="4"/>
        <v>1.9003927113032892</v>
      </c>
    </row>
    <row r="46" spans="4:20" x14ac:dyDescent="0.35">
      <c r="M46" s="36"/>
      <c r="N46" s="36"/>
      <c r="O46" s="36"/>
      <c r="P46" s="36"/>
      <c r="Q46" s="36"/>
      <c r="R46" s="36"/>
      <c r="S46" s="36"/>
      <c r="T46">
        <f>MAX(T43:T45)</f>
        <v>2.2173457212917955</v>
      </c>
    </row>
    <row r="47" spans="4:20" x14ac:dyDescent="0.35">
      <c r="D47" s="282" t="s">
        <v>11</v>
      </c>
      <c r="E47" s="283"/>
      <c r="F47" s="283"/>
      <c r="G47" s="283"/>
      <c r="H47" s="283"/>
      <c r="I47" s="283"/>
      <c r="J47" s="284"/>
      <c r="M47" s="282" t="s">
        <v>11</v>
      </c>
      <c r="N47" s="283"/>
      <c r="O47" s="283"/>
      <c r="P47" s="283"/>
      <c r="Q47" s="283"/>
      <c r="R47" s="283"/>
      <c r="S47" s="284"/>
    </row>
    <row r="48" spans="4:20" x14ac:dyDescent="0.35">
      <c r="D48" s="32">
        <v>1</v>
      </c>
      <c r="E48" s="38">
        <v>34.071383887379291</v>
      </c>
      <c r="F48" s="38">
        <v>34.060483276776985</v>
      </c>
      <c r="G48" s="38">
        <v>34.070784035994102</v>
      </c>
      <c r="H48" s="38">
        <v>34.028500472127149</v>
      </c>
      <c r="I48" s="38">
        <v>33.331703569034438</v>
      </c>
      <c r="J48" s="38">
        <v>31.868626315310777</v>
      </c>
      <c r="M48" s="32">
        <v>1</v>
      </c>
      <c r="N48" s="38">
        <f>ABS(E48-E13)/E13*100</f>
        <v>1.2995831767691546</v>
      </c>
      <c r="O48" s="38">
        <f t="shared" ref="O48:S50" si="5">ABS(F48-F13)/F13*100</f>
        <v>1.2739615165884495</v>
      </c>
      <c r="P48" s="38">
        <f t="shared" si="5"/>
        <v>0.8417228288879447</v>
      </c>
      <c r="Q48" s="38">
        <f t="shared" si="5"/>
        <v>0.3557819264212283</v>
      </c>
      <c r="R48" s="38">
        <f t="shared" si="5"/>
        <v>0.32385296341375425</v>
      </c>
      <c r="S48" s="38">
        <f t="shared" si="5"/>
        <v>0.8751903100753381</v>
      </c>
      <c r="T48" s="39">
        <f>MAX(N48:S48)</f>
        <v>1.2995831767691546</v>
      </c>
    </row>
    <row r="49" spans="4:20" x14ac:dyDescent="0.35">
      <c r="D49" s="32">
        <v>0.75</v>
      </c>
      <c r="E49" s="38">
        <v>31.17522480154598</v>
      </c>
      <c r="F49" s="38">
        <v>31.165250772104613</v>
      </c>
      <c r="G49" s="38">
        <v>31.174675939138677</v>
      </c>
      <c r="H49" s="38">
        <v>31.135986591699194</v>
      </c>
      <c r="I49" s="38">
        <v>30.498419295732006</v>
      </c>
      <c r="J49" s="38">
        <v>29.159707535809652</v>
      </c>
      <c r="M49" s="32">
        <v>0.75</v>
      </c>
      <c r="N49" s="38">
        <f t="shared" ref="N49:N50" si="6">ABS(E49-E14)/E14*100</f>
        <v>3.2726503209867115</v>
      </c>
      <c r="O49" s="38">
        <f t="shared" si="5"/>
        <v>3.273585437291699</v>
      </c>
      <c r="P49" s="38">
        <f t="shared" si="5"/>
        <v>3.0336673743742515</v>
      </c>
      <c r="Q49" s="38">
        <f t="shared" si="5"/>
        <v>2.5172617667526853</v>
      </c>
      <c r="R49" s="38">
        <f t="shared" si="5"/>
        <v>2.436278644491348</v>
      </c>
      <c r="S49" s="38">
        <f t="shared" si="5"/>
        <v>2.865731059927874</v>
      </c>
      <c r="T49" s="39">
        <f t="shared" ref="T49:T50" si="7">MAX(N49:S49)</f>
        <v>3.273585437291699</v>
      </c>
    </row>
    <row r="50" spans="4:20" x14ac:dyDescent="0.35">
      <c r="D50" s="32">
        <v>0.5</v>
      </c>
      <c r="E50" s="38">
        <v>28.097320990526011</v>
      </c>
      <c r="F50" s="38">
        <v>28.088331688650339</v>
      </c>
      <c r="G50" s="38">
        <v>28.096826316844076</v>
      </c>
      <c r="H50" s="38">
        <v>28.061956736244703</v>
      </c>
      <c r="I50" s="38">
        <v>27.487335924947025</v>
      </c>
      <c r="J50" s="38">
        <v>26.280794054863541</v>
      </c>
      <c r="M50" s="32">
        <v>0.5</v>
      </c>
      <c r="N50" s="38">
        <f t="shared" si="6"/>
        <v>0.96054973239674091</v>
      </c>
      <c r="O50" s="38">
        <f t="shared" si="5"/>
        <v>0.96452799658640687</v>
      </c>
      <c r="P50" s="38">
        <f t="shared" si="5"/>
        <v>1.1040889415044162</v>
      </c>
      <c r="Q50" s="38">
        <f t="shared" si="5"/>
        <v>1.6369313156273213</v>
      </c>
      <c r="R50" s="38">
        <f t="shared" si="5"/>
        <v>1.7295926163842557</v>
      </c>
      <c r="S50" s="38">
        <f t="shared" si="5"/>
        <v>1.3528501923005853</v>
      </c>
      <c r="T50" s="39">
        <f t="shared" si="7"/>
        <v>1.7295926163842557</v>
      </c>
    </row>
    <row r="51" spans="4:20" x14ac:dyDescent="0.35">
      <c r="M51" s="36"/>
      <c r="N51" s="36"/>
      <c r="O51" s="36"/>
      <c r="P51" s="36"/>
      <c r="Q51" s="36"/>
      <c r="R51" s="36"/>
      <c r="S51" s="36"/>
      <c r="T51">
        <f>MAX(T48:T50)</f>
        <v>3.273585437291699</v>
      </c>
    </row>
    <row r="52" spans="4:20" x14ac:dyDescent="0.35">
      <c r="D52" s="282" t="s">
        <v>14</v>
      </c>
      <c r="E52" s="283"/>
      <c r="F52" s="283"/>
      <c r="G52" s="283"/>
      <c r="H52" s="283"/>
      <c r="I52" s="283"/>
      <c r="J52" s="284"/>
      <c r="M52" s="282" t="s">
        <v>14</v>
      </c>
      <c r="N52" s="283"/>
      <c r="O52" s="283"/>
      <c r="P52" s="283"/>
      <c r="Q52" s="283"/>
      <c r="R52" s="283"/>
      <c r="S52" s="284"/>
    </row>
    <row r="53" spans="4:20" x14ac:dyDescent="0.35">
      <c r="D53" s="32">
        <v>1</v>
      </c>
      <c r="E53" s="38">
        <v>512.42860879898069</v>
      </c>
      <c r="F53" s="38">
        <v>516.76034517288201</v>
      </c>
      <c r="G53" s="38">
        <v>526.56307497024534</v>
      </c>
      <c r="H53" s="38">
        <v>531.59881811141963</v>
      </c>
      <c r="I53" s="38">
        <v>506.09583792686459</v>
      </c>
      <c r="J53" s="38">
        <v>461.8505338668823</v>
      </c>
      <c r="M53" s="32">
        <v>1</v>
      </c>
      <c r="N53" s="38">
        <f>ABS(E53-E21)/E21*100</f>
        <v>0.22807461079036848</v>
      </c>
      <c r="O53" s="38">
        <f t="shared" ref="O53:S55" si="8">ABS(F53-F21)/F21*100</f>
        <v>0.8137533257424161</v>
      </c>
      <c r="P53" s="38">
        <f t="shared" si="8"/>
        <v>0.92886642140257036</v>
      </c>
      <c r="Q53" s="38">
        <f t="shared" si="8"/>
        <v>1.8388540443332628</v>
      </c>
      <c r="R53" s="38">
        <f t="shared" si="8"/>
        <v>2.3242696981125284</v>
      </c>
      <c r="S53" s="38">
        <f>ABS(J53-J21)/J21*100</f>
        <v>2.1567206075828973</v>
      </c>
      <c r="T53" s="39">
        <f>MAX(N53:S53)</f>
        <v>2.3242696981125284</v>
      </c>
    </row>
    <row r="54" spans="4:20" x14ac:dyDescent="0.35">
      <c r="D54" s="32">
        <v>0.75</v>
      </c>
      <c r="E54" s="38">
        <v>429.28707606211111</v>
      </c>
      <c r="F54" s="38">
        <v>432.91598828577173</v>
      </c>
      <c r="G54" s="38">
        <v>441.1282253464621</v>
      </c>
      <c r="H54" s="38">
        <v>445.34691925182642</v>
      </c>
      <c r="I54" s="38">
        <v>423.98179715226695</v>
      </c>
      <c r="J54" s="38">
        <v>386.91529289539801</v>
      </c>
      <c r="M54" s="32">
        <v>0.75</v>
      </c>
      <c r="N54" s="38">
        <f t="shared" ref="N54:N55" si="9">ABS(E54-E22)/E22*100</f>
        <v>0.48978301759129939</v>
      </c>
      <c r="O54" s="38">
        <f t="shared" si="8"/>
        <v>1.0477741061093182</v>
      </c>
      <c r="P54" s="38">
        <f t="shared" si="8"/>
        <v>1.4458835240254513</v>
      </c>
      <c r="Q54" s="38">
        <f t="shared" si="8"/>
        <v>0.89418197821169998</v>
      </c>
      <c r="R54" s="38">
        <f t="shared" si="8"/>
        <v>1.3825435562570447</v>
      </c>
      <c r="S54" s="38">
        <f t="shared" si="8"/>
        <v>1.2867258888476469</v>
      </c>
      <c r="T54" s="39">
        <f t="shared" ref="T54:T55" si="10">MAX(N54:S54)</f>
        <v>1.4458835240254513</v>
      </c>
    </row>
    <row r="55" spans="4:20" x14ac:dyDescent="0.35">
      <c r="D55" s="32">
        <v>0.5</v>
      </c>
      <c r="E55" s="38">
        <v>355.88168371593719</v>
      </c>
      <c r="F55" s="38">
        <v>358.89007475360921</v>
      </c>
      <c r="G55" s="38">
        <v>365.69807088301064</v>
      </c>
      <c r="H55" s="38">
        <v>369.19539464103121</v>
      </c>
      <c r="I55" s="38">
        <v>351.48357416105085</v>
      </c>
      <c r="J55" s="38">
        <v>320.75520920442705</v>
      </c>
      <c r="M55" s="32">
        <v>0.5</v>
      </c>
      <c r="N55" s="38">
        <f t="shared" si="9"/>
        <v>0.3132538610820208</v>
      </c>
      <c r="O55" s="38">
        <f t="shared" si="8"/>
        <v>0.8590953719311567</v>
      </c>
      <c r="P55" s="38">
        <f t="shared" si="8"/>
        <v>1.216080258506036</v>
      </c>
      <c r="Q55" s="38">
        <f t="shared" si="8"/>
        <v>0.54340812664249072</v>
      </c>
      <c r="R55" s="38">
        <f t="shared" si="8"/>
        <v>1.088172033664327</v>
      </c>
      <c r="S55" s="38">
        <f t="shared" si="8"/>
        <v>0.99345377973143068</v>
      </c>
      <c r="T55" s="39">
        <f t="shared" si="10"/>
        <v>1.216080258506036</v>
      </c>
    </row>
    <row r="56" spans="4:20" x14ac:dyDescent="0.35">
      <c r="M56" s="36"/>
      <c r="N56" s="36"/>
      <c r="O56" s="36"/>
      <c r="P56" s="36"/>
      <c r="Q56" s="36"/>
      <c r="R56" s="36"/>
      <c r="S56" s="36"/>
      <c r="T56">
        <f>MAX(T53:T55)</f>
        <v>2.3242696981125284</v>
      </c>
    </row>
    <row r="57" spans="4:20" x14ac:dyDescent="0.35">
      <c r="D57" s="282" t="s">
        <v>15</v>
      </c>
      <c r="E57" s="283"/>
      <c r="F57" s="283"/>
      <c r="G57" s="283"/>
      <c r="H57" s="283"/>
      <c r="I57" s="283"/>
      <c r="J57" s="284"/>
      <c r="M57" s="282" t="s">
        <v>15</v>
      </c>
      <c r="N57" s="283"/>
      <c r="O57" s="283"/>
      <c r="P57" s="283"/>
      <c r="Q57" s="283"/>
      <c r="R57" s="283"/>
      <c r="S57" s="284"/>
    </row>
    <row r="58" spans="4:20" x14ac:dyDescent="0.35">
      <c r="D58" s="32">
        <v>1</v>
      </c>
      <c r="E58" s="38">
        <v>526.2546784964469</v>
      </c>
      <c r="F58" s="38">
        <v>528.09669638402386</v>
      </c>
      <c r="G58" s="38">
        <v>532.13026712104715</v>
      </c>
      <c r="H58" s="38">
        <v>534.3745525135339</v>
      </c>
      <c r="I58" s="38">
        <v>542.34169291117109</v>
      </c>
      <c r="J58" s="38">
        <v>557.65650373424842</v>
      </c>
      <c r="M58" s="32">
        <v>1</v>
      </c>
      <c r="N58" s="38">
        <f>ABS(E58-E29)/E29*100</f>
        <v>0.52620410629358161</v>
      </c>
      <c r="O58" s="38">
        <f t="shared" ref="O58:S60" si="11">ABS(F58-F29)/F29*100</f>
        <v>0.15108977508513241</v>
      </c>
      <c r="P58" s="38">
        <f t="shared" si="11"/>
        <v>0.14444227415140232</v>
      </c>
      <c r="Q58" s="38">
        <f t="shared" si="11"/>
        <v>0.11690607223665431</v>
      </c>
      <c r="R58" s="38">
        <f t="shared" si="11"/>
        <v>2.6132960378282694E-2</v>
      </c>
      <c r="S58" s="38">
        <f t="shared" si="11"/>
        <v>4.3645145322021836E-2</v>
      </c>
      <c r="T58" s="39">
        <f>MAX(N58:S58)</f>
        <v>0.52620410629358161</v>
      </c>
    </row>
    <row r="59" spans="4:20" x14ac:dyDescent="0.35">
      <c r="D59" s="32">
        <v>0.75</v>
      </c>
      <c r="E59" s="38">
        <v>526.2546784964469</v>
      </c>
      <c r="F59" s="38">
        <v>528.09669638402386</v>
      </c>
      <c r="G59" s="38">
        <v>532.13026712104715</v>
      </c>
      <c r="H59" s="38">
        <v>534.3745525135339</v>
      </c>
      <c r="I59" s="38">
        <v>542.34169291117109</v>
      </c>
      <c r="J59" s="38">
        <v>557.65650373424842</v>
      </c>
      <c r="M59" s="32">
        <v>0.75</v>
      </c>
      <c r="N59" s="38">
        <f t="shared" ref="N59:N60" si="12">ABS(E59-E30)/E30*100</f>
        <v>0.79576297576075017</v>
      </c>
      <c r="O59" s="38">
        <f t="shared" si="11"/>
        <v>0.41770229777978329</v>
      </c>
      <c r="P59" s="38">
        <f t="shared" si="11"/>
        <v>0.13742324445750417</v>
      </c>
      <c r="Q59" s="38">
        <f t="shared" si="11"/>
        <v>0.14515601827846264</v>
      </c>
      <c r="R59" s="38">
        <f t="shared" si="11"/>
        <v>0.26653594216511683</v>
      </c>
      <c r="S59" s="38">
        <f t="shared" si="11"/>
        <v>0.17181672970152181</v>
      </c>
      <c r="T59" s="39">
        <f t="shared" ref="T59:T60" si="13">MAX(N59:S59)</f>
        <v>0.79576297576075017</v>
      </c>
    </row>
    <row r="60" spans="4:20" x14ac:dyDescent="0.35">
      <c r="D60" s="32">
        <v>0.5</v>
      </c>
      <c r="E60" s="38">
        <v>510.20391356262093</v>
      </c>
      <c r="F60" s="38">
        <v>511.9897499142885</v>
      </c>
      <c r="G60" s="38">
        <v>515.90029676498943</v>
      </c>
      <c r="H60" s="38">
        <v>518.07613146477718</v>
      </c>
      <c r="I60" s="38">
        <v>525.80027412207573</v>
      </c>
      <c r="J60" s="38">
        <v>540.64798329537859</v>
      </c>
      <c r="M60" s="32">
        <v>0.5</v>
      </c>
      <c r="N60" s="38">
        <f t="shared" si="12"/>
        <v>3.8418189141663679E-2</v>
      </c>
      <c r="O60" s="38">
        <f t="shared" si="11"/>
        <v>0.4104746325056462</v>
      </c>
      <c r="P60" s="38">
        <f t="shared" si="11"/>
        <v>0.67379731132278464</v>
      </c>
      <c r="Q60" s="38">
        <f t="shared" si="11"/>
        <v>0.67558829279579102</v>
      </c>
      <c r="R60" s="38">
        <f t="shared" si="11"/>
        <v>0.58607031157576917</v>
      </c>
      <c r="S60" s="38">
        <f t="shared" si="11"/>
        <v>0.70744108441164477</v>
      </c>
      <c r="T60" s="39">
        <f t="shared" si="13"/>
        <v>0.70744108441164477</v>
      </c>
    </row>
    <row r="61" spans="4:20" x14ac:dyDescent="0.35">
      <c r="T61">
        <f>MAX(T58:T60)</f>
        <v>0.79576297576075017</v>
      </c>
    </row>
  </sheetData>
  <mergeCells count="18">
    <mergeCell ref="D57:J57"/>
    <mergeCell ref="M57:S57"/>
    <mergeCell ref="D19:J19"/>
    <mergeCell ref="A26:B26"/>
    <mergeCell ref="D27:J27"/>
    <mergeCell ref="D41:J41"/>
    <mergeCell ref="M41:S41"/>
    <mergeCell ref="D47:J47"/>
    <mergeCell ref="M47:S47"/>
    <mergeCell ref="D52:J52"/>
    <mergeCell ref="M52:S52"/>
    <mergeCell ref="D39:S39"/>
    <mergeCell ref="A1:B1"/>
    <mergeCell ref="D2:J2"/>
    <mergeCell ref="D3:J3"/>
    <mergeCell ref="A6:B6"/>
    <mergeCell ref="A11:B11"/>
    <mergeCell ref="D11:J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2F8AF-E986-4B30-8512-C0961C424C65}">
  <dimension ref="A1:AZ85"/>
  <sheetViews>
    <sheetView tabSelected="1" topLeftCell="AK1" zoomScale="85" zoomScaleNormal="85" workbookViewId="0">
      <selection activeCell="AU56" sqref="AU56"/>
    </sheetView>
  </sheetViews>
  <sheetFormatPr defaultRowHeight="15.5" x14ac:dyDescent="0.35"/>
  <cols>
    <col min="1" max="1" width="8.7265625" style="36"/>
    <col min="2" max="2" width="8.81640625" style="36" bestFit="1" customWidth="1"/>
    <col min="3" max="3" width="9.81640625" style="36" bestFit="1" customWidth="1"/>
    <col min="4" max="4" width="8.81640625" style="36" bestFit="1" customWidth="1"/>
    <col min="5" max="5" width="12.26953125" style="36" bestFit="1" customWidth="1"/>
    <col min="6" max="6" width="11.90625" style="36" bestFit="1" customWidth="1"/>
    <col min="7" max="7" width="8.7265625" style="36"/>
    <col min="8" max="8" width="12.36328125" style="36" customWidth="1"/>
    <col min="9" max="9" width="8.81640625" style="36" bestFit="1" customWidth="1"/>
    <col min="10" max="10" width="9.81640625" style="36" bestFit="1" customWidth="1"/>
    <col min="11" max="12" width="8.81640625" style="36" bestFit="1" customWidth="1"/>
    <col min="13" max="13" width="8.7265625" style="36"/>
    <col min="14" max="14" width="9.81640625" style="36" bestFit="1" customWidth="1"/>
    <col min="15" max="15" width="8.7265625" style="36"/>
    <col min="16" max="16" width="8.81640625" style="36" bestFit="1" customWidth="1"/>
    <col min="17" max="17" width="8.7265625" style="36"/>
    <col min="18" max="18" width="8.81640625" style="36" bestFit="1" customWidth="1"/>
    <col min="19" max="19" width="9.81640625" style="36" bestFit="1" customWidth="1"/>
    <col min="20" max="20" width="12.81640625" style="36" bestFit="1" customWidth="1"/>
    <col min="21" max="21" width="8.81640625" style="36" bestFit="1" customWidth="1"/>
    <col min="22" max="23" width="8.7265625" style="36"/>
    <col min="24" max="24" width="8.81640625" style="36" bestFit="1" customWidth="1"/>
    <col min="25" max="26" width="8.7265625" style="36"/>
    <col min="27" max="27" width="14.54296875" style="36" customWidth="1"/>
    <col min="28" max="29" width="8.81640625" style="36" bestFit="1" customWidth="1"/>
    <col min="30" max="30" width="27.26953125" style="36" bestFit="1" customWidth="1"/>
    <col min="31" max="31" width="8.81640625" style="36" bestFit="1" customWidth="1"/>
    <col min="32" max="32" width="8.7265625" style="36"/>
    <col min="33" max="33" width="17.453125" style="36" customWidth="1"/>
    <col min="34" max="16384" width="8.7265625" style="36"/>
  </cols>
  <sheetData>
    <row r="1" spans="1:29" x14ac:dyDescent="0.35">
      <c r="A1" s="233" t="s">
        <v>375</v>
      </c>
      <c r="B1" s="232"/>
      <c r="C1" s="232"/>
      <c r="D1" s="256" t="s">
        <v>339</v>
      </c>
      <c r="E1" s="232"/>
      <c r="F1" s="248"/>
      <c r="H1" s="247" t="s">
        <v>339</v>
      </c>
      <c r="I1" s="252" t="s">
        <v>374</v>
      </c>
      <c r="K1" s="213"/>
      <c r="L1" s="247" t="s">
        <v>339</v>
      </c>
      <c r="M1" s="252" t="s">
        <v>373</v>
      </c>
      <c r="O1" s="213"/>
      <c r="P1" s="247" t="s">
        <v>339</v>
      </c>
      <c r="Q1" s="36" t="s">
        <v>372</v>
      </c>
      <c r="S1" s="213"/>
      <c r="T1" s="233" t="s">
        <v>371</v>
      </c>
      <c r="U1" s="232"/>
      <c r="V1" s="232"/>
      <c r="W1" s="248"/>
    </row>
    <row r="2" spans="1:29" x14ac:dyDescent="0.35">
      <c r="A2" s="231" t="s">
        <v>322</v>
      </c>
      <c r="D2" s="240" t="s">
        <v>311</v>
      </c>
      <c r="G2" s="213"/>
      <c r="H2" s="240" t="s">
        <v>310</v>
      </c>
      <c r="I2" s="240" t="s">
        <v>306</v>
      </c>
      <c r="J2" s="240">
        <f>[1]!PropsSI("S","T",J3+273.15,"P",J4*10^6,"Water")/1000</f>
        <v>6.7655641692480533</v>
      </c>
      <c r="K2" s="36" t="s">
        <v>350</v>
      </c>
      <c r="L2" s="240" t="s">
        <v>310</v>
      </c>
      <c r="M2" s="240" t="s">
        <v>306</v>
      </c>
      <c r="N2" s="240">
        <f>[1]!PropsSI("S","T",N3+273.15,"P",N4*10^6,"Water")/1000</f>
        <v>7.0061221718792259</v>
      </c>
      <c r="O2" s="36" t="s">
        <v>350</v>
      </c>
      <c r="P2" s="240" t="s">
        <v>310</v>
      </c>
      <c r="Q2" s="240" t="s">
        <v>306</v>
      </c>
      <c r="R2" s="240">
        <f>[1]!PropsSI("S","H",R5*1000,"P",R4*10^6,"Water")/1000</f>
        <v>7.1601601212470571</v>
      </c>
      <c r="S2" s="213"/>
      <c r="T2" s="269" t="s">
        <v>339</v>
      </c>
      <c r="W2" s="213"/>
    </row>
    <row r="3" spans="1:29" x14ac:dyDescent="0.35">
      <c r="A3" s="221" t="s">
        <v>310</v>
      </c>
      <c r="B3" s="228" t="s">
        <v>307</v>
      </c>
      <c r="C3" s="227">
        <f>R42</f>
        <v>542.1</v>
      </c>
      <c r="D3" s="240"/>
      <c r="E3" s="245" t="s">
        <v>307</v>
      </c>
      <c r="F3" s="244">
        <f>C3-K50</f>
        <v>511.5</v>
      </c>
      <c r="G3" s="213" t="s">
        <v>309</v>
      </c>
      <c r="H3" s="240"/>
      <c r="I3" s="240" t="s">
        <v>307</v>
      </c>
      <c r="J3" s="240">
        <f>[1]!PropsSI("T","P",J4*10^6,"H",J5*1000,"Water")-273.15</f>
        <v>508.87863186611003</v>
      </c>
      <c r="K3" s="213" t="s">
        <v>309</v>
      </c>
      <c r="L3" s="240"/>
      <c r="M3" s="240" t="s">
        <v>307</v>
      </c>
      <c r="N3" s="240">
        <f>J23</f>
        <v>198.34695057839116</v>
      </c>
      <c r="O3" s="213" t="s">
        <v>309</v>
      </c>
      <c r="P3" s="240"/>
      <c r="Q3" s="240" t="s">
        <v>307</v>
      </c>
      <c r="R3" s="240">
        <f>[1]!PropsSI("T","H",R5*1000,"P",R4*10^6,"Water")-273.15</f>
        <v>111.84615070362076</v>
      </c>
      <c r="S3" s="213" t="s">
        <v>309</v>
      </c>
      <c r="T3" s="242" t="s">
        <v>310</v>
      </c>
      <c r="U3" s="240" t="s">
        <v>307</v>
      </c>
      <c r="V3" s="240">
        <f>R6</f>
        <v>41.508765479638271</v>
      </c>
      <c r="W3" s="213" t="s">
        <v>309</v>
      </c>
      <c r="AC3" s="268"/>
    </row>
    <row r="4" spans="1:29" x14ac:dyDescent="0.35">
      <c r="A4" s="221"/>
      <c r="B4" s="221" t="s">
        <v>304</v>
      </c>
      <c r="C4" s="224">
        <v>0.1</v>
      </c>
      <c r="D4" s="240"/>
      <c r="E4" s="242" t="s">
        <v>304</v>
      </c>
      <c r="F4" s="267">
        <f>F13-L42</f>
        <v>8.407</v>
      </c>
      <c r="G4" s="213" t="s">
        <v>303</v>
      </c>
      <c r="H4" s="240"/>
      <c r="I4" s="240" t="s">
        <v>304</v>
      </c>
      <c r="J4" s="266">
        <f>F4-L41</f>
        <v>7.8449999999999998</v>
      </c>
      <c r="K4" s="213" t="s">
        <v>303</v>
      </c>
      <c r="L4" s="240"/>
      <c r="M4" s="240" t="s">
        <v>304</v>
      </c>
      <c r="N4" s="265">
        <f>F31-L46</f>
        <v>0.54899999999999993</v>
      </c>
      <c r="O4" s="213" t="s">
        <v>303</v>
      </c>
      <c r="P4" s="240"/>
      <c r="Q4" s="240" t="s">
        <v>304</v>
      </c>
      <c r="R4" s="265">
        <f>K28</f>
        <v>0.1525</v>
      </c>
      <c r="S4" s="213" t="s">
        <v>303</v>
      </c>
      <c r="T4" s="242"/>
      <c r="U4" s="240" t="s">
        <v>304</v>
      </c>
      <c r="V4" s="240">
        <f>R7</f>
        <v>8.0000000000000002E-3</v>
      </c>
      <c r="W4" s="213" t="s">
        <v>303</v>
      </c>
    </row>
    <row r="5" spans="1:29" x14ac:dyDescent="0.35">
      <c r="A5" s="221"/>
      <c r="B5" s="220" t="s">
        <v>300</v>
      </c>
      <c r="C5" s="219">
        <f>[1]!PropsSI("H","P",C4*10^6,"T",C3+273.15,"REFPROP::"&amp;[1]!MixtureString($Q$45:$Q$49,$S$45:$S$49))/1000</f>
        <v>960.9361786956913</v>
      </c>
      <c r="D5" s="240"/>
      <c r="E5" s="239" t="s">
        <v>299</v>
      </c>
      <c r="F5" s="238">
        <f>[1]!PropsSI("H","T",F3+273.15,"P",F4*10^6,"Water")/1000</f>
        <v>3423.2099783420958</v>
      </c>
      <c r="G5" s="213" t="s">
        <v>298</v>
      </c>
      <c r="H5" s="240"/>
      <c r="I5" s="240" t="s">
        <v>299</v>
      </c>
      <c r="J5" s="240">
        <f>F5</f>
        <v>3423.2099783420958</v>
      </c>
      <c r="K5" s="213" t="s">
        <v>298</v>
      </c>
      <c r="L5" s="240"/>
      <c r="M5" s="240" t="s">
        <v>299</v>
      </c>
      <c r="N5" s="240">
        <f>J21</f>
        <v>2849.7095035319708</v>
      </c>
      <c r="O5" s="213" t="s">
        <v>298</v>
      </c>
      <c r="P5" s="240"/>
      <c r="Q5" s="240" t="s">
        <v>299</v>
      </c>
      <c r="R5" s="240">
        <f>N9</f>
        <v>2671.7974508252887</v>
      </c>
      <c r="S5" s="213" t="s">
        <v>298</v>
      </c>
      <c r="T5" s="242"/>
      <c r="U5" s="240" t="s">
        <v>299</v>
      </c>
      <c r="V5" s="240">
        <f>R8</f>
        <v>2240.414409080423</v>
      </c>
      <c r="W5" s="213" t="s">
        <v>298</v>
      </c>
    </row>
    <row r="6" spans="1:29" x14ac:dyDescent="0.35">
      <c r="A6" s="221" t="s">
        <v>311</v>
      </c>
      <c r="B6" s="228" t="s">
        <v>307</v>
      </c>
      <c r="C6" s="227">
        <f>[1]!PropsSI("T","P",C4*10^6,"H",C8*1000,"REFPROP::"&amp;[1]!MixtureString($Q$45:$Q$49,$S$45:$S$49))-273.15</f>
        <v>468.07511189228387</v>
      </c>
      <c r="D6" s="240" t="s">
        <v>310</v>
      </c>
      <c r="E6" s="245" t="s">
        <v>307</v>
      </c>
      <c r="F6" s="244">
        <f>F12</f>
        <v>301.29755574753347</v>
      </c>
      <c r="G6" s="213" t="s">
        <v>309</v>
      </c>
      <c r="H6" s="240" t="s">
        <v>311</v>
      </c>
      <c r="I6" s="240" t="s">
        <v>307</v>
      </c>
      <c r="J6" s="240">
        <f>[1]!PropsSI("T","H",J9*1000,"P",J7*10^6,"Water")-273.15</f>
        <v>195.85257753389442</v>
      </c>
      <c r="K6" s="213" t="s">
        <v>309</v>
      </c>
      <c r="L6" s="240" t="s">
        <v>311</v>
      </c>
      <c r="M6" s="240" t="s">
        <v>307</v>
      </c>
      <c r="N6" s="240">
        <f>[1]!PropsSI("T","H",N8*1000,"P",N7*10^6,"Water")-273.15</f>
        <v>111.84615070362076</v>
      </c>
      <c r="O6" s="213" t="s">
        <v>309</v>
      </c>
      <c r="P6" s="240" t="s">
        <v>311</v>
      </c>
      <c r="Q6" s="240" t="s">
        <v>307</v>
      </c>
      <c r="R6" s="240">
        <f>[1]!PropsSI("T","H",R8*1000,"P",R7*10^6,"Water")-273.15</f>
        <v>41.508765479638271</v>
      </c>
      <c r="S6" s="213" t="s">
        <v>309</v>
      </c>
      <c r="T6" s="223" t="s">
        <v>311</v>
      </c>
      <c r="U6" s="214" t="s">
        <v>307</v>
      </c>
      <c r="V6" s="214">
        <f>[1]!PropsSI("T","P",V7*10^6,"Q",0,"Water")-273.15</f>
        <v>41.508765479638271</v>
      </c>
      <c r="W6" s="213" t="s">
        <v>309</v>
      </c>
    </row>
    <row r="7" spans="1:29" x14ac:dyDescent="0.35">
      <c r="A7" s="221"/>
      <c r="B7" s="221" t="s">
        <v>304</v>
      </c>
      <c r="C7" s="224">
        <f>C4</f>
        <v>0.1</v>
      </c>
      <c r="D7" s="240"/>
      <c r="E7" s="242" t="s">
        <v>304</v>
      </c>
      <c r="F7" s="241">
        <f>F13</f>
        <v>8.7460000000000004</v>
      </c>
      <c r="G7" s="213" t="s">
        <v>303</v>
      </c>
      <c r="H7" s="240"/>
      <c r="I7" s="240" t="s">
        <v>304</v>
      </c>
      <c r="J7" s="240">
        <f>J17</f>
        <v>0.54899999999999993</v>
      </c>
      <c r="K7" s="213" t="s">
        <v>303</v>
      </c>
      <c r="L7" s="240"/>
      <c r="M7" s="240" t="s">
        <v>304</v>
      </c>
      <c r="N7" s="240">
        <f>R4</f>
        <v>0.1525</v>
      </c>
      <c r="O7" s="213" t="s">
        <v>303</v>
      </c>
      <c r="P7" s="240"/>
      <c r="Q7" s="240" t="s">
        <v>304</v>
      </c>
      <c r="R7" s="240">
        <v>8.0000000000000002E-3</v>
      </c>
      <c r="S7" s="213" t="s">
        <v>303</v>
      </c>
      <c r="T7" s="223"/>
      <c r="U7" s="214" t="s">
        <v>304</v>
      </c>
      <c r="V7" s="214">
        <f>V4</f>
        <v>8.0000000000000002E-3</v>
      </c>
      <c r="W7" s="213" t="s">
        <v>303</v>
      </c>
    </row>
    <row r="8" spans="1:29" x14ac:dyDescent="0.35">
      <c r="A8" s="221"/>
      <c r="B8" s="220" t="s">
        <v>300</v>
      </c>
      <c r="C8" s="219">
        <f>C5-D9/(B9*$K$29)</f>
        <v>876.30840460775687</v>
      </c>
      <c r="D8" s="240"/>
      <c r="E8" s="239" t="s">
        <v>299</v>
      </c>
      <c r="F8" s="238">
        <f>F14</f>
        <v>2747.1040230157923</v>
      </c>
      <c r="G8" s="213" t="s">
        <v>298</v>
      </c>
      <c r="H8" s="36" t="s">
        <v>358</v>
      </c>
      <c r="I8" s="240" t="s">
        <v>345</v>
      </c>
      <c r="J8" s="240">
        <f>[1]!PropsSI("H","S",J2*1000,"P",J7*10^6,"Water")/1000</f>
        <v>2742.1219209776555</v>
      </c>
      <c r="K8" s="36" t="s">
        <v>298</v>
      </c>
      <c r="L8" s="36" t="s">
        <v>358</v>
      </c>
      <c r="M8" s="240" t="s">
        <v>345</v>
      </c>
      <c r="N8" s="240">
        <f>[1]!PropsSI("H","S",N2*1000,"P",N7*10^6,"Water")/1000</f>
        <v>2612.4934332563948</v>
      </c>
      <c r="O8" s="36" t="s">
        <v>298</v>
      </c>
      <c r="P8" s="36" t="s">
        <v>358</v>
      </c>
      <c r="Q8" s="240" t="s">
        <v>345</v>
      </c>
      <c r="R8" s="240">
        <f>[1]!PropsSI("H","S",R2*1000,"P",R7*10^6,"Water")/1000</f>
        <v>2240.414409080423</v>
      </c>
      <c r="S8" s="36" t="s">
        <v>298</v>
      </c>
      <c r="T8" s="214"/>
      <c r="U8" s="214" t="s">
        <v>299</v>
      </c>
      <c r="V8" s="214">
        <f>[1]!PropsSI("H","P",V7*10^6,"Q",0,"Water")/1000</f>
        <v>173.83980037063873</v>
      </c>
      <c r="W8" s="213" t="s">
        <v>298</v>
      </c>
    </row>
    <row r="9" spans="1:29" x14ac:dyDescent="0.35">
      <c r="A9" s="236" t="s">
        <v>295</v>
      </c>
      <c r="B9" s="216">
        <f>R41</f>
        <v>503.8</v>
      </c>
      <c r="C9" s="235" t="s">
        <v>294</v>
      </c>
      <c r="D9" s="235">
        <f>F9*(F5-F8)</f>
        <v>42422.295222573877</v>
      </c>
      <c r="E9" s="240" t="s">
        <v>293</v>
      </c>
      <c r="F9" s="240">
        <f>B9*(C5-C17)*$K$29/(F5-F17)</f>
        <v>62.745040016841664</v>
      </c>
      <c r="G9" s="234"/>
      <c r="H9" s="240">
        <f>F9</f>
        <v>62.745040016841664</v>
      </c>
      <c r="I9" s="240" t="s">
        <v>299</v>
      </c>
      <c r="J9" s="240">
        <f>J5-H11*(J5-J8)</f>
        <v>2844.2851295823216</v>
      </c>
      <c r="K9" s="36" t="s">
        <v>298</v>
      </c>
      <c r="L9" s="240">
        <f>J22</f>
        <v>77.315782180716056</v>
      </c>
      <c r="M9" s="240" t="s">
        <v>299</v>
      </c>
      <c r="N9" s="240">
        <f>N5-L11*(N5-N8)</f>
        <v>2671.7974508252887</v>
      </c>
      <c r="O9" s="36" t="s">
        <v>298</v>
      </c>
      <c r="P9" s="240">
        <f>L9</f>
        <v>77.315782180716056</v>
      </c>
      <c r="Q9" s="240" t="s">
        <v>299</v>
      </c>
      <c r="R9" s="240">
        <f>R5-P11*(R5-R8)</f>
        <v>2339.6325086817419</v>
      </c>
      <c r="S9" s="36" t="s">
        <v>298</v>
      </c>
      <c r="T9" s="252"/>
      <c r="U9" s="251" t="s">
        <v>357</v>
      </c>
      <c r="V9" s="251">
        <f>R11</f>
        <v>77.315782180716056</v>
      </c>
      <c r="W9" s="234"/>
    </row>
    <row r="10" spans="1:29" x14ac:dyDescent="0.35">
      <c r="A10" s="249" t="s">
        <v>370</v>
      </c>
      <c r="B10" s="232"/>
      <c r="C10" s="232"/>
      <c r="D10" s="232">
        <f>B9*$K$29*(C5-C8)</f>
        <v>42422.295222573855</v>
      </c>
      <c r="E10" s="232"/>
      <c r="F10" s="232"/>
      <c r="G10" s="248"/>
      <c r="H10" s="36" t="s">
        <v>369</v>
      </c>
      <c r="I10" s="36" t="s">
        <v>368</v>
      </c>
      <c r="J10" s="36">
        <f>(J5-J9)*H9/1000</f>
        <v>36.324662802176043</v>
      </c>
      <c r="K10" s="36" t="s">
        <v>90</v>
      </c>
      <c r="L10" s="36" t="s">
        <v>369</v>
      </c>
      <c r="M10" s="36" t="s">
        <v>368</v>
      </c>
      <c r="N10" s="36">
        <f>(N5-N9)*L9/1000</f>
        <v>13.755409514393905</v>
      </c>
      <c r="O10" s="36" t="s">
        <v>90</v>
      </c>
      <c r="P10" s="36" t="s">
        <v>369</v>
      </c>
      <c r="Q10" s="36" t="s">
        <v>368</v>
      </c>
      <c r="R10" s="36">
        <f>(R5-R9)*P9/1000</f>
        <v>25.681592314840614</v>
      </c>
      <c r="S10" s="36" t="s">
        <v>90</v>
      </c>
    </row>
    <row r="11" spans="1:29" x14ac:dyDescent="0.35">
      <c r="A11" s="231" t="s">
        <v>322</v>
      </c>
      <c r="D11" s="247" t="s">
        <v>339</v>
      </c>
      <c r="G11" s="213"/>
      <c r="H11" s="246">
        <v>0.85</v>
      </c>
      <c r="I11" s="240" t="s">
        <v>367</v>
      </c>
      <c r="J11" s="36">
        <f>[1]!PropsSI("Q","P",J7*10^6,"H",J9*1000,"Water")</f>
        <v>-1</v>
      </c>
      <c r="L11" s="246">
        <v>0.75</v>
      </c>
      <c r="M11" s="240" t="s">
        <v>367</v>
      </c>
      <c r="N11" s="36">
        <f>[1]!PropsSI("Q","P",N7*10^6,"H",N9*1000,"Water")</f>
        <v>0.99008476310874793</v>
      </c>
      <c r="P11" s="246">
        <v>0.77</v>
      </c>
      <c r="Q11" s="264" t="s">
        <v>357</v>
      </c>
      <c r="R11" s="264">
        <f>F9+F36-I13</f>
        <v>77.315782180716056</v>
      </c>
    </row>
    <row r="12" spans="1:29" x14ac:dyDescent="0.35">
      <c r="A12" s="221" t="s">
        <v>310</v>
      </c>
      <c r="B12" s="228" t="s">
        <v>307</v>
      </c>
      <c r="C12" s="227">
        <f>C6</f>
        <v>468.07511189228387</v>
      </c>
      <c r="D12" s="240" t="s">
        <v>311</v>
      </c>
      <c r="E12" s="245" t="s">
        <v>307</v>
      </c>
      <c r="F12" s="244">
        <f>[1]!PropsSI("T","P",F13*10^6,"Q",1,"Water")-273.15</f>
        <v>301.29755574753347</v>
      </c>
      <c r="G12" s="213" t="s">
        <v>309</v>
      </c>
      <c r="N12" s="36">
        <f>100-N11*100</f>
        <v>0.99152368912520217</v>
      </c>
      <c r="Q12" s="240" t="s">
        <v>305</v>
      </c>
      <c r="R12" s="262">
        <f>[1]!PropsSI("Q","P",R7*10^6,"H",R9*1000,"Water")</f>
        <v>0.90152491139280977</v>
      </c>
    </row>
    <row r="13" spans="1:29" x14ac:dyDescent="0.35">
      <c r="A13" s="221"/>
      <c r="B13" s="221" t="s">
        <v>304</v>
      </c>
      <c r="C13" s="224">
        <f>C7</f>
        <v>0.1</v>
      </c>
      <c r="D13" s="240"/>
      <c r="E13" s="242" t="s">
        <v>304</v>
      </c>
      <c r="F13" s="263">
        <f>L43</f>
        <v>8.7460000000000004</v>
      </c>
      <c r="G13" s="36" t="s">
        <v>303</v>
      </c>
      <c r="H13" s="253"/>
      <c r="I13" s="253"/>
      <c r="Q13" s="240" t="s">
        <v>366</v>
      </c>
      <c r="R13" s="262">
        <f>1-R12</f>
        <v>9.8475088607190231E-2</v>
      </c>
    </row>
    <row r="14" spans="1:29" x14ac:dyDescent="0.35">
      <c r="A14" s="221"/>
      <c r="B14" s="220" t="s">
        <v>300</v>
      </c>
      <c r="C14" s="219">
        <f>C8</f>
        <v>876.30840460775687</v>
      </c>
      <c r="D14" s="240"/>
      <c r="E14" s="239" t="s">
        <v>299</v>
      </c>
      <c r="F14" s="238">
        <f>[1]!PropsSI("H","P",F13*10^6,"Q",1,"Water")/1000</f>
        <v>2747.1040230157923</v>
      </c>
      <c r="G14" s="36" t="s">
        <v>298</v>
      </c>
      <c r="I14" s="36" t="s">
        <v>365</v>
      </c>
      <c r="Q14" s="232" t="s">
        <v>364</v>
      </c>
      <c r="R14" s="232"/>
      <c r="S14" s="232" t="s">
        <v>363</v>
      </c>
      <c r="T14" s="214">
        <f>1/[1]!PropsSI("Dmass","P",S17*10^6,"Q",0,"Water")</f>
        <v>1.1077050116460648E-3</v>
      </c>
      <c r="V14" s="233" t="s">
        <v>362</v>
      </c>
      <c r="W14" s="232"/>
      <c r="X14" s="232"/>
      <c r="Y14" s="248"/>
    </row>
    <row r="15" spans="1:29" x14ac:dyDescent="0.35">
      <c r="A15" s="221" t="s">
        <v>311</v>
      </c>
      <c r="B15" s="228" t="s">
        <v>307</v>
      </c>
      <c r="C15" s="227">
        <f>F12+K53</f>
        <v>309.2</v>
      </c>
      <c r="D15" s="214" t="s">
        <v>310</v>
      </c>
      <c r="E15" s="226" t="s">
        <v>307</v>
      </c>
      <c r="F15" s="225">
        <f>F12-K52</f>
        <v>298.29755574753347</v>
      </c>
      <c r="G15" s="36" t="s">
        <v>309</v>
      </c>
      <c r="J15" s="36" t="s">
        <v>278</v>
      </c>
      <c r="K15" s="36" t="s">
        <v>277</v>
      </c>
      <c r="L15" s="261"/>
      <c r="M15" s="261"/>
      <c r="N15" s="261"/>
      <c r="O15" s="261"/>
      <c r="Q15" s="230" t="s">
        <v>321</v>
      </c>
      <c r="S15" s="232" t="s">
        <v>361</v>
      </c>
      <c r="T15" s="213"/>
      <c r="V15" s="257" t="s">
        <v>321</v>
      </c>
      <c r="Y15" s="213"/>
    </row>
    <row r="16" spans="1:29" x14ac:dyDescent="0.35">
      <c r="A16" s="221"/>
      <c r="B16" s="221" t="s">
        <v>304</v>
      </c>
      <c r="C16" s="224">
        <f>C13</f>
        <v>0.1</v>
      </c>
      <c r="D16" s="214"/>
      <c r="E16" s="223" t="s">
        <v>304</v>
      </c>
      <c r="F16" s="260">
        <f>F13</f>
        <v>8.7460000000000004</v>
      </c>
      <c r="G16" s="36" t="s">
        <v>303</v>
      </c>
      <c r="I16" s="36" t="s">
        <v>307</v>
      </c>
      <c r="J16" s="36">
        <f>J6</f>
        <v>195.85257753389442</v>
      </c>
      <c r="K16" s="36">
        <f>[1]!PropsSI("T","H",K18*1000,"P",K17*10^6,"Water")-273.15</f>
        <v>210.55666437183908</v>
      </c>
      <c r="Q16" s="214" t="s">
        <v>310</v>
      </c>
      <c r="R16" s="214" t="s">
        <v>307</v>
      </c>
      <c r="S16" s="214">
        <f>F39</f>
        <v>164.73836143543406</v>
      </c>
      <c r="T16" s="213" t="s">
        <v>309</v>
      </c>
      <c r="V16" s="223" t="s">
        <v>310</v>
      </c>
      <c r="W16" s="214" t="s">
        <v>307</v>
      </c>
      <c r="X16" s="214">
        <f>V6</f>
        <v>41.508765479638271</v>
      </c>
      <c r="Y16" s="213" t="s">
        <v>309</v>
      </c>
    </row>
    <row r="17" spans="1:27" x14ac:dyDescent="0.35">
      <c r="A17" s="221"/>
      <c r="B17" s="220" t="s">
        <v>300</v>
      </c>
      <c r="C17" s="219">
        <f>[1]!PropsSI("H","P",C16*10^6,"T",C15+273.15,"REFPROP::"&amp;[1]!MixtureString($Q$45:$Q$49,$S$45:$S$49))/1000</f>
        <v>699.56720280569073</v>
      </c>
      <c r="D17" s="214"/>
      <c r="E17" s="218" t="s">
        <v>299</v>
      </c>
      <c r="F17" s="217">
        <f>[1]!PropsSI("H","T",F15+273.15,"P",F16*10^6,"Water")/1000</f>
        <v>1335.0879280900294</v>
      </c>
      <c r="G17" s="36" t="s">
        <v>298</v>
      </c>
      <c r="I17" s="36" t="s">
        <v>304</v>
      </c>
      <c r="J17" s="36">
        <f>J24</f>
        <v>0.54899999999999993</v>
      </c>
      <c r="K17" s="36">
        <f>N4+L45</f>
        <v>0.61099999999999999</v>
      </c>
      <c r="Q17" s="214"/>
      <c r="R17" s="214" t="s">
        <v>304</v>
      </c>
      <c r="S17" s="214">
        <f>F40</f>
        <v>0.69640000000000002</v>
      </c>
      <c r="T17" s="213" t="s">
        <v>303</v>
      </c>
      <c r="V17" s="223"/>
      <c r="W17" s="214" t="s">
        <v>304</v>
      </c>
      <c r="X17" s="214">
        <f>V7</f>
        <v>8.0000000000000002E-3</v>
      </c>
      <c r="Y17" s="213" t="s">
        <v>303</v>
      </c>
    </row>
    <row r="18" spans="1:27" x14ac:dyDescent="0.35">
      <c r="A18" s="236" t="s">
        <v>295</v>
      </c>
      <c r="B18" s="216">
        <f>B9</f>
        <v>503.8</v>
      </c>
      <c r="C18" s="235" t="s">
        <v>294</v>
      </c>
      <c r="D18" s="235">
        <f>F18*(F14-F17)</f>
        <v>88597.006380541483</v>
      </c>
      <c r="E18" s="214" t="s">
        <v>293</v>
      </c>
      <c r="F18" s="214">
        <f>F9</f>
        <v>62.745040016841664</v>
      </c>
      <c r="G18" s="259"/>
      <c r="I18" s="36" t="s">
        <v>299</v>
      </c>
      <c r="J18" s="36">
        <f>J9</f>
        <v>2844.2851295823216</v>
      </c>
      <c r="K18" s="36">
        <f>F32</f>
        <v>2873.0681325372179</v>
      </c>
      <c r="Q18" s="214"/>
      <c r="R18" s="214" t="s">
        <v>299</v>
      </c>
      <c r="S18" s="214">
        <f>[1]!PropsSI("H","P",S17*10^6,"Q",0,"Water")/1000</f>
        <v>696.09556718341162</v>
      </c>
      <c r="T18" s="213" t="s">
        <v>298</v>
      </c>
      <c r="V18" s="223"/>
      <c r="W18" s="214" t="s">
        <v>299</v>
      </c>
      <c r="X18" s="214">
        <f>V8</f>
        <v>173.83980037063873</v>
      </c>
      <c r="Y18" s="213" t="s">
        <v>298</v>
      </c>
    </row>
    <row r="19" spans="1:27" x14ac:dyDescent="0.35">
      <c r="A19" s="233" t="s">
        <v>360</v>
      </c>
      <c r="B19" s="232"/>
      <c r="C19" s="232"/>
      <c r="D19" s="232">
        <f>B18*$K$29*(C14-C17)</f>
        <v>88597.006380541527</v>
      </c>
      <c r="E19" s="232"/>
      <c r="F19" s="232"/>
      <c r="G19" s="232"/>
      <c r="I19" s="36" t="s">
        <v>358</v>
      </c>
      <c r="J19" s="36">
        <f>H9</f>
        <v>62.745040016841664</v>
      </c>
      <c r="K19" s="36">
        <f>F36</f>
        <v>14.570742163874391</v>
      </c>
      <c r="Q19" s="214"/>
      <c r="R19" s="214" t="s">
        <v>306</v>
      </c>
      <c r="S19" s="214">
        <f>[1]!PropsSI("S","P",S17*10^6,"Q",0,"Water")/1000</f>
        <v>1.9897129552964774</v>
      </c>
      <c r="T19" s="213" t="s">
        <v>350</v>
      </c>
      <c r="W19" s="214" t="s">
        <v>306</v>
      </c>
      <c r="X19" s="214">
        <f>[1]!PropsSI("S","P",V7*10^6,"Q",0,"Water")/1000</f>
        <v>0.59249115591654267</v>
      </c>
      <c r="Y19" s="213" t="s">
        <v>350</v>
      </c>
    </row>
    <row r="20" spans="1:27" x14ac:dyDescent="0.35">
      <c r="A20" s="231" t="s">
        <v>322</v>
      </c>
      <c r="D20" s="230" t="s">
        <v>321</v>
      </c>
      <c r="J20" s="36" t="s">
        <v>359</v>
      </c>
      <c r="K20" s="36" t="s">
        <v>359</v>
      </c>
      <c r="Q20" s="214" t="s">
        <v>311</v>
      </c>
      <c r="R20" s="214" t="s">
        <v>307</v>
      </c>
      <c r="S20" s="214">
        <f>[1]!PropsSI("T","P",S21*10^6,"H",S23*1000,"Water")-273.15</f>
        <v>166.22157513753592</v>
      </c>
      <c r="T20" s="213" t="s">
        <v>309</v>
      </c>
      <c r="V20" s="223" t="s">
        <v>311</v>
      </c>
      <c r="W20" s="214" t="s">
        <v>307</v>
      </c>
      <c r="X20" s="214">
        <f>[1]!PropsSI("T","P",X21*10^6,"H",X23*1000,"Water")-273.15</f>
        <v>41.683602592709406</v>
      </c>
      <c r="Y20" s="213" t="s">
        <v>309</v>
      </c>
    </row>
    <row r="21" spans="1:27" x14ac:dyDescent="0.35">
      <c r="A21" s="221" t="s">
        <v>310</v>
      </c>
      <c r="B21" s="228" t="s">
        <v>307</v>
      </c>
      <c r="C21" s="227">
        <f>C15</f>
        <v>309.2</v>
      </c>
      <c r="D21" s="214" t="s">
        <v>311</v>
      </c>
      <c r="E21" s="226" t="s">
        <v>307</v>
      </c>
      <c r="F21" s="222">
        <f>F15</f>
        <v>298.29755574753347</v>
      </c>
      <c r="G21" s="36" t="s">
        <v>309</v>
      </c>
      <c r="I21" s="36" t="s">
        <v>299</v>
      </c>
      <c r="J21" s="36">
        <f>(J19*J18+K19*K18)/J22</f>
        <v>2849.7095035319708</v>
      </c>
      <c r="Q21" s="214"/>
      <c r="R21" s="214" t="s">
        <v>304</v>
      </c>
      <c r="S21" s="214">
        <f>F25</f>
        <v>8.7460000000000004</v>
      </c>
      <c r="T21" s="213" t="s">
        <v>303</v>
      </c>
      <c r="V21" s="223"/>
      <c r="W21" s="214" t="s">
        <v>304</v>
      </c>
      <c r="X21" s="214">
        <v>2</v>
      </c>
      <c r="Y21" s="213" t="s">
        <v>303</v>
      </c>
      <c r="Z21" s="36">
        <v>200</v>
      </c>
      <c r="AA21" s="36" t="s">
        <v>347</v>
      </c>
    </row>
    <row r="22" spans="1:27" x14ac:dyDescent="0.35">
      <c r="A22" s="221"/>
      <c r="B22" s="221" t="s">
        <v>304</v>
      </c>
      <c r="C22" s="224">
        <f>C16</f>
        <v>0.1</v>
      </c>
      <c r="D22" s="214"/>
      <c r="E22" s="223" t="s">
        <v>304</v>
      </c>
      <c r="F22" s="258">
        <f>F16</f>
        <v>8.7460000000000004</v>
      </c>
      <c r="G22" s="36" t="s">
        <v>303</v>
      </c>
      <c r="I22" s="36" t="s">
        <v>358</v>
      </c>
      <c r="J22" s="36">
        <f>J19+K19</f>
        <v>77.315782180716056</v>
      </c>
      <c r="Q22" s="214"/>
      <c r="R22" s="214" t="s">
        <v>345</v>
      </c>
      <c r="S22" s="214">
        <f>[1]!PropsSI("H","S",S19*1000,"P",S21*10^6,"Water")/1000</f>
        <v>704.99300112993888</v>
      </c>
      <c r="T22" s="213" t="s">
        <v>298</v>
      </c>
      <c r="V22" s="223"/>
      <c r="W22" s="214" t="s">
        <v>345</v>
      </c>
      <c r="X22" s="214">
        <f>[1]!PropsSI("H","S",X19*1000,"P",X21*10^6,"Water")/1000</f>
        <v>175.84783643781768</v>
      </c>
      <c r="Y22" s="213" t="s">
        <v>298</v>
      </c>
      <c r="Z22" s="36">
        <f>Z21*9806/1000000</f>
        <v>1.9612000000000001</v>
      </c>
    </row>
    <row r="23" spans="1:27" x14ac:dyDescent="0.35">
      <c r="A23" s="221"/>
      <c r="B23" s="220" t="s">
        <v>300</v>
      </c>
      <c r="C23" s="219">
        <f>C17</f>
        <v>699.56720280569073</v>
      </c>
      <c r="D23" s="214"/>
      <c r="E23" s="218" t="s">
        <v>299</v>
      </c>
      <c r="F23" s="222">
        <f>F17</f>
        <v>1335.0879280900294</v>
      </c>
      <c r="G23" s="213" t="s">
        <v>298</v>
      </c>
      <c r="I23" s="36" t="s">
        <v>307</v>
      </c>
      <c r="J23" s="36">
        <f>[1]!PropsSI("T","H",J21*1000,"P",J24*10^6,"Water")-273.15</f>
        <v>198.34695057839116</v>
      </c>
      <c r="R23" s="214" t="s">
        <v>299</v>
      </c>
      <c r="S23" s="214">
        <f>S18+(S22-S18)/K33</f>
        <v>707.11542592322735</v>
      </c>
      <c r="T23" s="213" t="s">
        <v>298</v>
      </c>
      <c r="W23" s="214" t="s">
        <v>299</v>
      </c>
      <c r="X23" s="214">
        <f>X18+(X22-X18)/K35</f>
        <v>176.3268403349426</v>
      </c>
      <c r="Y23" s="213" t="s">
        <v>298</v>
      </c>
    </row>
    <row r="24" spans="1:27" x14ac:dyDescent="0.35">
      <c r="A24" s="221" t="s">
        <v>311</v>
      </c>
      <c r="B24" s="228" t="s">
        <v>307</v>
      </c>
      <c r="C24" s="227">
        <f>[1]!PropsSI("T","P",C22*10^6,"H",C26*1000,"REFPROP::"&amp;[1]!MixtureString($Q$45:$Q$49,$S$45:$S$49))-273.15</f>
        <v>236.62133360145555</v>
      </c>
      <c r="D24" s="214" t="s">
        <v>310</v>
      </c>
      <c r="E24" s="226" t="s">
        <v>307</v>
      </c>
      <c r="F24" s="225">
        <f>S20</f>
        <v>166.22157513753592</v>
      </c>
      <c r="G24" s="213" t="s">
        <v>309</v>
      </c>
      <c r="I24" s="36" t="s">
        <v>304</v>
      </c>
      <c r="J24" s="36">
        <f>N4</f>
        <v>0.54899999999999993</v>
      </c>
      <c r="Q24" s="252"/>
      <c r="R24" s="251" t="s">
        <v>293</v>
      </c>
      <c r="S24" s="251">
        <f>F27</f>
        <v>62.745040016841664</v>
      </c>
      <c r="T24" s="234"/>
      <c r="V24" s="252"/>
      <c r="W24" s="251" t="s">
        <v>357</v>
      </c>
      <c r="X24" s="251">
        <f>V9</f>
        <v>77.315782180716056</v>
      </c>
      <c r="Y24" s="234"/>
    </row>
    <row r="25" spans="1:27" x14ac:dyDescent="0.35">
      <c r="A25" s="221"/>
      <c r="B25" s="221" t="s">
        <v>304</v>
      </c>
      <c r="C25" s="224">
        <f>C22</f>
        <v>0.1</v>
      </c>
      <c r="D25" s="214"/>
      <c r="E25" s="223" t="s">
        <v>304</v>
      </c>
      <c r="F25" s="258">
        <f>F22</f>
        <v>8.7460000000000004</v>
      </c>
      <c r="G25" s="213" t="s">
        <v>303</v>
      </c>
      <c r="J25" s="253"/>
      <c r="K25" s="253"/>
      <c r="L25" s="253"/>
      <c r="M25" s="253"/>
      <c r="N25" s="253"/>
      <c r="O25" s="253"/>
      <c r="S25" s="36">
        <f>(S23-S18)*S24/1000/$K$38/$K$37</f>
        <v>0.73518498416765599</v>
      </c>
      <c r="T25" s="36" t="s">
        <v>90</v>
      </c>
      <c r="X25" s="36">
        <f>(X23-X18)*X24/1000/$K$38/$K$37</f>
        <v>0.20445235529490086</v>
      </c>
      <c r="Y25" s="36" t="s">
        <v>90</v>
      </c>
    </row>
    <row r="26" spans="1:27" x14ac:dyDescent="0.35">
      <c r="A26" s="221"/>
      <c r="B26" s="220" t="s">
        <v>300</v>
      </c>
      <c r="C26" s="219">
        <f>C23-D27/(B27*$K$29)</f>
        <v>620.96426397910011</v>
      </c>
      <c r="D26" s="214"/>
      <c r="E26" s="218" t="s">
        <v>299</v>
      </c>
      <c r="F26" s="217">
        <f>S23</f>
        <v>707.11542592322735</v>
      </c>
      <c r="G26" s="213" t="s">
        <v>298</v>
      </c>
      <c r="J26" s="253"/>
      <c r="Q26" s="233" t="s">
        <v>356</v>
      </c>
      <c r="R26" s="232"/>
      <c r="S26" s="232"/>
      <c r="T26" s="248"/>
    </row>
    <row r="27" spans="1:27" x14ac:dyDescent="0.35">
      <c r="A27" s="236" t="s">
        <v>295</v>
      </c>
      <c r="B27" s="216">
        <f>B18</f>
        <v>503.8</v>
      </c>
      <c r="C27" s="235" t="s">
        <v>294</v>
      </c>
      <c r="D27" s="235">
        <f>F27*(F23-F26)</f>
        <v>39402.159777932182</v>
      </c>
      <c r="E27" s="214" t="s">
        <v>293</v>
      </c>
      <c r="F27" s="214">
        <f>F18</f>
        <v>62.745040016841664</v>
      </c>
      <c r="G27" s="234"/>
      <c r="J27" s="253"/>
      <c r="Q27" s="257" t="s">
        <v>321</v>
      </c>
      <c r="T27" s="213"/>
    </row>
    <row r="28" spans="1:27" x14ac:dyDescent="0.35">
      <c r="A28" s="233" t="s">
        <v>355</v>
      </c>
      <c r="B28" s="232"/>
      <c r="C28" s="232"/>
      <c r="D28" s="232">
        <f>B27*$K$29*(C23-C26)</f>
        <v>39402.159777932175</v>
      </c>
      <c r="E28" s="232"/>
      <c r="F28" s="248"/>
      <c r="G28" s="252"/>
      <c r="I28" s="36" t="s">
        <v>354</v>
      </c>
      <c r="K28" s="36">
        <v>0.1525</v>
      </c>
      <c r="L28" s="36" t="s">
        <v>317</v>
      </c>
      <c r="Q28" s="223" t="s">
        <v>310</v>
      </c>
      <c r="R28" s="214" t="s">
        <v>307</v>
      </c>
      <c r="S28" s="254">
        <f>F48</f>
        <v>161.73836143543406</v>
      </c>
      <c r="T28" s="213" t="s">
        <v>309</v>
      </c>
    </row>
    <row r="29" spans="1:27" x14ac:dyDescent="0.35">
      <c r="A29" s="231" t="s">
        <v>322</v>
      </c>
      <c r="D29" s="256" t="s">
        <v>339</v>
      </c>
      <c r="G29" s="213"/>
      <c r="I29" s="36" t="s">
        <v>353</v>
      </c>
      <c r="K29" s="36">
        <v>0.995</v>
      </c>
      <c r="Q29" s="223"/>
      <c r="R29" s="214" t="s">
        <v>304</v>
      </c>
      <c r="S29" s="254">
        <f>F49</f>
        <v>0.69640000000000002</v>
      </c>
      <c r="T29" s="213" t="s">
        <v>303</v>
      </c>
    </row>
    <row r="30" spans="1:27" x14ac:dyDescent="0.35">
      <c r="A30" s="221" t="s">
        <v>310</v>
      </c>
      <c r="B30" s="228" t="s">
        <v>307</v>
      </c>
      <c r="C30" s="227">
        <f>C24</f>
        <v>236.62133360145555</v>
      </c>
      <c r="D30" s="240" t="s">
        <v>311</v>
      </c>
      <c r="E30" s="245" t="s">
        <v>307</v>
      </c>
      <c r="F30" s="244">
        <f>C30-K51</f>
        <v>212.32133360145554</v>
      </c>
      <c r="G30" s="213" t="s">
        <v>309</v>
      </c>
      <c r="I30" s="36" t="s">
        <v>352</v>
      </c>
      <c r="K30" s="255">
        <v>0.03</v>
      </c>
      <c r="Q30" s="223"/>
      <c r="R30" s="214" t="s">
        <v>299</v>
      </c>
      <c r="S30" s="254">
        <f>F50</f>
        <v>683.05964382158982</v>
      </c>
      <c r="T30" s="213" t="s">
        <v>298</v>
      </c>
    </row>
    <row r="31" spans="1:27" x14ac:dyDescent="0.35">
      <c r="A31" s="221"/>
      <c r="B31" s="221" t="s">
        <v>304</v>
      </c>
      <c r="C31" s="224">
        <f>C25</f>
        <v>0.1</v>
      </c>
      <c r="D31" s="240"/>
      <c r="E31" s="242" t="s">
        <v>304</v>
      </c>
      <c r="F31" s="241">
        <f>F34-L47</f>
        <v>0.69099999999999995</v>
      </c>
      <c r="G31" s="213" t="s">
        <v>303</v>
      </c>
      <c r="I31" s="36" t="s">
        <v>351</v>
      </c>
      <c r="K31" s="253">
        <v>0.05</v>
      </c>
      <c r="R31" s="214" t="s">
        <v>306</v>
      </c>
      <c r="S31" s="214">
        <f>[1]!PropsSI("S","P",S29*10^6,"Q",0,"Water")/1000</f>
        <v>1.9897129552964774</v>
      </c>
      <c r="T31" s="213" t="s">
        <v>350</v>
      </c>
    </row>
    <row r="32" spans="1:27" x14ac:dyDescent="0.35">
      <c r="A32" s="221"/>
      <c r="B32" s="220" t="s">
        <v>300</v>
      </c>
      <c r="C32" s="219">
        <f>C26</f>
        <v>620.96426397910011</v>
      </c>
      <c r="D32" s="240"/>
      <c r="E32" s="239" t="s">
        <v>299</v>
      </c>
      <c r="F32" s="238">
        <f>[1]!PropsSI("H","T",F30+273.15,"P",F31*10^6,"Water")/1000</f>
        <v>2873.0681325372179</v>
      </c>
      <c r="G32" s="36" t="s">
        <v>298</v>
      </c>
      <c r="I32" s="36" t="s">
        <v>349</v>
      </c>
      <c r="K32" s="36">
        <v>0.05</v>
      </c>
      <c r="Q32" s="223" t="s">
        <v>311</v>
      </c>
      <c r="R32" s="214" t="s">
        <v>307</v>
      </c>
      <c r="S32" s="214">
        <f>[1]!PropsSI("T","P",S33*10^6,"H",S35*1000,"Water")-273.15</f>
        <v>165.55322257319352</v>
      </c>
      <c r="T32" s="213" t="s">
        <v>309</v>
      </c>
    </row>
    <row r="33" spans="1:22" x14ac:dyDescent="0.35">
      <c r="A33" s="221" t="s">
        <v>311</v>
      </c>
      <c r="B33" s="228" t="s">
        <v>307</v>
      </c>
      <c r="C33" s="227">
        <f>[1]!PropsSI("T","P",C31*10^6,"H",C35*1000,"REFPROP::"&amp;[1]!MixtureString($Q$45:$Q$49,$S$45:$S$49))-273.15</f>
        <v>233.63054078077988</v>
      </c>
      <c r="D33" s="240" t="s">
        <v>310</v>
      </c>
      <c r="E33" s="245" t="s">
        <v>307</v>
      </c>
      <c r="F33" s="244">
        <f>F39</f>
        <v>164.73836143543406</v>
      </c>
      <c r="G33" s="36" t="s">
        <v>309</v>
      </c>
      <c r="I33" s="36" t="s">
        <v>348</v>
      </c>
      <c r="K33" s="36">
        <v>0.80740000000000001</v>
      </c>
      <c r="Q33" s="223"/>
      <c r="R33" s="214" t="s">
        <v>304</v>
      </c>
      <c r="S33" s="214">
        <f>S29+U34</f>
        <v>1.23573</v>
      </c>
      <c r="T33" s="213" t="s">
        <v>303</v>
      </c>
      <c r="U33" s="36">
        <v>55</v>
      </c>
      <c r="V33" s="36" t="s">
        <v>347</v>
      </c>
    </row>
    <row r="34" spans="1:22" x14ac:dyDescent="0.35">
      <c r="A34" s="221"/>
      <c r="B34" s="221" t="s">
        <v>304</v>
      </c>
      <c r="C34" s="224">
        <f>C31</f>
        <v>0.1</v>
      </c>
      <c r="D34" s="240"/>
      <c r="E34" s="242" t="s">
        <v>304</v>
      </c>
      <c r="F34" s="241">
        <f>F40</f>
        <v>0.69640000000000002</v>
      </c>
      <c r="G34" s="213" t="s">
        <v>303</v>
      </c>
      <c r="I34" s="36" t="s">
        <v>346</v>
      </c>
      <c r="K34" s="36">
        <v>0.80740000000000001</v>
      </c>
      <c r="Q34" s="223"/>
      <c r="R34" s="214" t="s">
        <v>345</v>
      </c>
      <c r="S34" s="214">
        <f>[1]!PropsSI("H","S",S31*1000,"P",S33*10^6,"Water")/1000</f>
        <v>696.6928987519151</v>
      </c>
      <c r="T34" s="213" t="s">
        <v>298</v>
      </c>
      <c r="U34" s="36">
        <f>U33*9806/1000000</f>
        <v>0.53932999999999998</v>
      </c>
    </row>
    <row r="35" spans="1:22" x14ac:dyDescent="0.35">
      <c r="A35" s="221"/>
      <c r="B35" s="220" t="s">
        <v>300</v>
      </c>
      <c r="C35" s="219">
        <f>C32-D36/(B36*$K$29)</f>
        <v>617.75139522852498</v>
      </c>
      <c r="D35" s="240"/>
      <c r="E35" s="239" t="s">
        <v>299</v>
      </c>
      <c r="F35" s="238">
        <f>F41</f>
        <v>2762.534980413358</v>
      </c>
      <c r="G35" s="213" t="s">
        <v>298</v>
      </c>
      <c r="I35" s="36" t="s">
        <v>344</v>
      </c>
      <c r="K35" s="36">
        <v>0.80740000000000001</v>
      </c>
      <c r="Q35" s="252"/>
      <c r="R35" s="214" t="s">
        <v>299</v>
      </c>
      <c r="S35" s="214">
        <f>S30+(S34-S30)/K36</f>
        <v>699.94502272959733</v>
      </c>
      <c r="T35" s="213" t="s">
        <v>298</v>
      </c>
    </row>
    <row r="36" spans="1:22" x14ac:dyDescent="0.35">
      <c r="A36" s="236" t="s">
        <v>295</v>
      </c>
      <c r="B36" s="216">
        <f>B27</f>
        <v>503.8</v>
      </c>
      <c r="C36" s="235" t="s">
        <v>294</v>
      </c>
      <c r="D36" s="235">
        <f>F36*(F32-F35)</f>
        <v>1610.5500601570686</v>
      </c>
      <c r="E36" s="240" t="s">
        <v>293</v>
      </c>
      <c r="F36" s="240">
        <f>(B36*(C32-C44)*$K$29-F46*(G46-F44))/(F32-F44)</f>
        <v>14.570742163874391</v>
      </c>
      <c r="G36" s="234"/>
      <c r="I36" s="36" t="s">
        <v>343</v>
      </c>
      <c r="K36" s="36">
        <f>K35</f>
        <v>0.80740000000000001</v>
      </c>
      <c r="R36" s="251" t="s">
        <v>342</v>
      </c>
      <c r="S36" s="250">
        <f>$V$9*(F53-$X$23)/($S$35-X23)</f>
        <v>11.136505085748002</v>
      </c>
      <c r="T36" s="234"/>
    </row>
    <row r="37" spans="1:22" x14ac:dyDescent="0.35">
      <c r="A37" s="249" t="s">
        <v>341</v>
      </c>
      <c r="B37" s="232"/>
      <c r="C37" s="232"/>
      <c r="D37" s="232">
        <f>B36*$K$29*(C32-C35)</f>
        <v>1610.5500601570498</v>
      </c>
      <c r="E37" s="232"/>
      <c r="F37" s="232"/>
      <c r="G37" s="248"/>
      <c r="I37" s="36" t="s">
        <v>340</v>
      </c>
      <c r="K37" s="246">
        <v>0.95</v>
      </c>
      <c r="M37" s="36">
        <v>0.61099999999999999</v>
      </c>
      <c r="S37" s="36">
        <f>(S35-S30)*S36/1000/$K$37/$K$38</f>
        <v>0.1999405721252607</v>
      </c>
      <c r="T37" s="36" t="s">
        <v>90</v>
      </c>
    </row>
    <row r="38" spans="1:22" x14ac:dyDescent="0.35">
      <c r="A38" s="231" t="s">
        <v>322</v>
      </c>
      <c r="D38" s="247" t="s">
        <v>339</v>
      </c>
      <c r="G38" s="213"/>
      <c r="I38" s="36" t="s">
        <v>338</v>
      </c>
      <c r="K38" s="246">
        <v>0.99</v>
      </c>
    </row>
    <row r="39" spans="1:22" x14ac:dyDescent="0.35">
      <c r="A39" s="221" t="s">
        <v>310</v>
      </c>
      <c r="B39" s="228" t="s">
        <v>307</v>
      </c>
      <c r="C39" s="227">
        <f>C33</f>
        <v>233.63054078077988</v>
      </c>
      <c r="D39" s="240" t="s">
        <v>311</v>
      </c>
      <c r="E39" s="245" t="s">
        <v>307</v>
      </c>
      <c r="F39" s="244">
        <f>[1]!PropsSI("T","P",F40*10^6,"Q",1,"Water")-273.15</f>
        <v>164.73836143543406</v>
      </c>
      <c r="G39" s="213" t="s">
        <v>309</v>
      </c>
      <c r="I39" s="36" t="s">
        <v>337</v>
      </c>
      <c r="K39" s="243">
        <v>0.98499999999999999</v>
      </c>
    </row>
    <row r="40" spans="1:22" x14ac:dyDescent="0.35">
      <c r="A40" s="221"/>
      <c r="B40" s="221" t="s">
        <v>304</v>
      </c>
      <c r="C40" s="224">
        <f>C34</f>
        <v>0.1</v>
      </c>
      <c r="D40" s="240"/>
      <c r="E40" s="242" t="s">
        <v>304</v>
      </c>
      <c r="F40" s="241">
        <f>L48</f>
        <v>0.69640000000000002</v>
      </c>
      <c r="G40" s="213" t="s">
        <v>303</v>
      </c>
      <c r="N40" s="36">
        <f>L41/F4</f>
        <v>6.6849054359462382E-2</v>
      </c>
    </row>
    <row r="41" spans="1:22" x14ac:dyDescent="0.35">
      <c r="A41" s="221"/>
      <c r="B41" s="220" t="s">
        <v>300</v>
      </c>
      <c r="C41" s="219">
        <f>C35</f>
        <v>617.75139522852498</v>
      </c>
      <c r="D41" s="240"/>
      <c r="E41" s="239" t="s">
        <v>299</v>
      </c>
      <c r="F41" s="238">
        <f>[1]!PropsSI("H","P",F40*10^6,"Q",1,"Water")/1000</f>
        <v>2762.534980413358</v>
      </c>
      <c r="G41" s="213" t="s">
        <v>298</v>
      </c>
      <c r="I41" s="36" t="s">
        <v>336</v>
      </c>
      <c r="L41" s="237">
        <v>0.56200000000000028</v>
      </c>
      <c r="M41" s="36" t="s">
        <v>317</v>
      </c>
      <c r="N41" s="36">
        <f>F4/F13</f>
        <v>0.96123942373656523</v>
      </c>
      <c r="Q41" s="36" t="s">
        <v>335</v>
      </c>
      <c r="R41" s="36">
        <v>503.8</v>
      </c>
    </row>
    <row r="42" spans="1:22" x14ac:dyDescent="0.35">
      <c r="A42" s="221" t="s">
        <v>311</v>
      </c>
      <c r="B42" s="228" t="s">
        <v>307</v>
      </c>
      <c r="C42" s="227">
        <f>F39+K54</f>
        <v>175.5</v>
      </c>
      <c r="D42" s="214" t="s">
        <v>310</v>
      </c>
      <c r="E42" s="226" t="s">
        <v>307</v>
      </c>
      <c r="F42" s="225">
        <f>F39-K55</f>
        <v>161.73836143543406</v>
      </c>
      <c r="G42" s="213" t="s">
        <v>309</v>
      </c>
      <c r="I42" s="36" t="s">
        <v>334</v>
      </c>
      <c r="L42" s="36">
        <v>0.33900000000000002</v>
      </c>
      <c r="M42" s="36" t="s">
        <v>317</v>
      </c>
      <c r="Q42" s="36" t="s">
        <v>333</v>
      </c>
      <c r="R42" s="36">
        <v>542.1</v>
      </c>
    </row>
    <row r="43" spans="1:22" x14ac:dyDescent="0.35">
      <c r="A43" s="221"/>
      <c r="B43" s="221" t="s">
        <v>304</v>
      </c>
      <c r="C43" s="224">
        <f>C40</f>
        <v>0.1</v>
      </c>
      <c r="D43" s="214"/>
      <c r="E43" s="223" t="s">
        <v>304</v>
      </c>
      <c r="F43" s="222">
        <f>F40</f>
        <v>0.69640000000000002</v>
      </c>
      <c r="G43" s="213" t="s">
        <v>303</v>
      </c>
      <c r="I43" s="36" t="s">
        <v>332</v>
      </c>
      <c r="L43" s="36">
        <v>8.7460000000000004</v>
      </c>
      <c r="M43" s="36" t="s">
        <v>317</v>
      </c>
      <c r="Q43" s="36" t="s">
        <v>331</v>
      </c>
      <c r="R43" s="36">
        <v>0.1</v>
      </c>
      <c r="S43" s="36">
        <f>[1]!PropsSI("H","P",R43*10^6,"T",R42,"REFPROP::"&amp;[1]!MixtureString($Q$45:$Q$49,$S$45:$S$49))/1000</f>
        <v>655.82228462952583</v>
      </c>
    </row>
    <row r="44" spans="1:22" x14ac:dyDescent="0.35">
      <c r="A44" s="221"/>
      <c r="B44" s="220" t="s">
        <v>300</v>
      </c>
      <c r="C44" s="219">
        <f>[1]!PropsSI("H","P",C43*10^6,"T",C42+273.15,"REFPROP::"&amp;[1]!MixtureString($Q$45:$Q$49,$S$45:$S$49))/1000</f>
        <v>555.67555653005331</v>
      </c>
      <c r="D44" s="214"/>
      <c r="E44" s="218" t="s">
        <v>299</v>
      </c>
      <c r="F44" s="217">
        <f>[1]!PropsSI("H","T",F42+273.15,"P",F43*10^6,"Water")/1000</f>
        <v>683.05964382158982</v>
      </c>
      <c r="G44" s="213" t="s">
        <v>298</v>
      </c>
      <c r="Q44" s="36" t="s">
        <v>330</v>
      </c>
    </row>
    <row r="45" spans="1:22" x14ac:dyDescent="0.35">
      <c r="A45" s="236" t="s">
        <v>295</v>
      </c>
      <c r="B45" s="216">
        <f>B36</f>
        <v>503.8</v>
      </c>
      <c r="C45" s="235" t="s">
        <v>294</v>
      </c>
      <c r="D45" s="235">
        <f>F45*(F41-F44)+F46*(G46-F44)</f>
        <v>31117.438498608557</v>
      </c>
      <c r="E45" s="214" t="s">
        <v>329</v>
      </c>
      <c r="F45" s="214">
        <f>F36</f>
        <v>14.570742163874391</v>
      </c>
      <c r="G45" s="234" t="s">
        <v>328</v>
      </c>
      <c r="I45" s="36" t="s">
        <v>327</v>
      </c>
      <c r="L45" s="36">
        <v>6.2E-2</v>
      </c>
      <c r="M45" s="36" t="s">
        <v>317</v>
      </c>
      <c r="Q45" s="36" t="s">
        <v>326</v>
      </c>
      <c r="R45" s="36">
        <v>77.98</v>
      </c>
      <c r="S45" s="36">
        <f>R45/100</f>
        <v>0.77980000000000005</v>
      </c>
    </row>
    <row r="46" spans="1:22" x14ac:dyDescent="0.35">
      <c r="A46" s="233" t="s">
        <v>267</v>
      </c>
      <c r="B46" s="232"/>
      <c r="C46" s="232"/>
      <c r="D46" s="232"/>
      <c r="E46" s="232" t="s">
        <v>325</v>
      </c>
      <c r="F46" s="232">
        <f>F27</f>
        <v>62.745040016841664</v>
      </c>
      <c r="G46" s="36">
        <f>[1]!PropsSI("H","P",F40*10^6,"Q",0,"Water")/1000</f>
        <v>696.09556718341162</v>
      </c>
      <c r="I46" s="36" t="s">
        <v>324</v>
      </c>
      <c r="L46" s="36">
        <v>0.14199999999999999</v>
      </c>
      <c r="M46" s="36" t="s">
        <v>317</v>
      </c>
      <c r="N46" s="36">
        <f>L46/F31</f>
        <v>0.20549927641099855</v>
      </c>
      <c r="Q46" s="36" t="s">
        <v>323</v>
      </c>
      <c r="R46" s="36">
        <v>12.26</v>
      </c>
      <c r="S46" s="36">
        <f>R46/100</f>
        <v>0.1226</v>
      </c>
    </row>
    <row r="47" spans="1:22" x14ac:dyDescent="0.35">
      <c r="A47" s="231" t="s">
        <v>322</v>
      </c>
      <c r="D47" s="230" t="s">
        <v>321</v>
      </c>
      <c r="G47" s="213"/>
      <c r="I47" s="36" t="s">
        <v>320</v>
      </c>
      <c r="L47" s="36">
        <v>5.4000000000000714E-3</v>
      </c>
      <c r="M47" s="36" t="s">
        <v>317</v>
      </c>
      <c r="Q47" s="36" t="s">
        <v>319</v>
      </c>
      <c r="R47" s="36">
        <v>3.05</v>
      </c>
      <c r="S47" s="36">
        <f>R47/100</f>
        <v>3.0499999999999999E-2</v>
      </c>
    </row>
    <row r="48" spans="1:22" x14ac:dyDescent="0.35">
      <c r="A48" s="221" t="s">
        <v>310</v>
      </c>
      <c r="B48" s="228" t="s">
        <v>307</v>
      </c>
      <c r="C48" s="227">
        <f>C42</f>
        <v>175.5</v>
      </c>
      <c r="D48" s="214" t="s">
        <v>311</v>
      </c>
      <c r="E48" s="226" t="s">
        <v>307</v>
      </c>
      <c r="F48" s="222">
        <f>F42</f>
        <v>161.73836143543406</v>
      </c>
      <c r="G48" s="213" t="s">
        <v>309</v>
      </c>
      <c r="I48" s="36" t="s">
        <v>318</v>
      </c>
      <c r="L48" s="36">
        <v>0.69640000000000002</v>
      </c>
      <c r="M48" s="36" t="s">
        <v>317</v>
      </c>
      <c r="Q48" s="36" t="s">
        <v>316</v>
      </c>
      <c r="R48" s="36">
        <v>0.66</v>
      </c>
      <c r="S48" s="36">
        <f>R48/100</f>
        <v>6.6E-3</v>
      </c>
    </row>
    <row r="49" spans="1:52" x14ac:dyDescent="0.35">
      <c r="A49" s="221"/>
      <c r="B49" s="221" t="s">
        <v>304</v>
      </c>
      <c r="C49" s="224">
        <f>C43</f>
        <v>0.1</v>
      </c>
      <c r="D49" s="214"/>
      <c r="E49" s="223" t="s">
        <v>304</v>
      </c>
      <c r="F49" s="222">
        <f>F43</f>
        <v>0.69640000000000002</v>
      </c>
      <c r="G49" s="213" t="s">
        <v>303</v>
      </c>
      <c r="Q49" s="36" t="s">
        <v>315</v>
      </c>
      <c r="R49" s="36">
        <v>6.05</v>
      </c>
      <c r="S49" s="36">
        <f>R49/100</f>
        <v>6.0499999999999998E-2</v>
      </c>
    </row>
    <row r="50" spans="1:52" x14ac:dyDescent="0.35">
      <c r="A50" s="221"/>
      <c r="B50" s="220" t="s">
        <v>300</v>
      </c>
      <c r="C50" s="219">
        <f>C44</f>
        <v>555.67555653005331</v>
      </c>
      <c r="D50" s="214"/>
      <c r="E50" s="218" t="s">
        <v>299</v>
      </c>
      <c r="F50" s="222">
        <f>F44</f>
        <v>683.05964382158982</v>
      </c>
      <c r="G50" s="213" t="s">
        <v>298</v>
      </c>
      <c r="I50" s="36" t="s">
        <v>314</v>
      </c>
      <c r="K50" s="36">
        <v>30.600000000000023</v>
      </c>
      <c r="L50" s="36" t="s">
        <v>289</v>
      </c>
      <c r="T50" s="229"/>
      <c r="AQ50" s="36" t="s">
        <v>313</v>
      </c>
      <c r="AW50" s="36" t="s">
        <v>312</v>
      </c>
    </row>
    <row r="51" spans="1:52" x14ac:dyDescent="0.35">
      <c r="A51" s="221" t="s">
        <v>311</v>
      </c>
      <c r="B51" s="228" t="s">
        <v>307</v>
      </c>
      <c r="C51" s="227">
        <f>[1]!PropsSI("T","P",C49*10^6,"H",C53*1000,"REFPROP::"&amp;[1]!MixtureString($Q$45:$Q$49,$S$45:$S$49))-273.15</f>
        <v>103.43945961238336</v>
      </c>
      <c r="D51" s="214" t="s">
        <v>310</v>
      </c>
      <c r="E51" s="226" t="s">
        <v>307</v>
      </c>
      <c r="F51" s="225">
        <f>60</f>
        <v>60</v>
      </c>
      <c r="G51" s="213" t="s">
        <v>309</v>
      </c>
      <c r="I51" s="36" t="s">
        <v>308</v>
      </c>
      <c r="K51" s="36">
        <v>24.300000000000011</v>
      </c>
      <c r="L51" s="36" t="s">
        <v>289</v>
      </c>
      <c r="AQ51" s="36" t="s">
        <v>307</v>
      </c>
      <c r="AR51" s="36" t="s">
        <v>306</v>
      </c>
      <c r="AS51" s="36" t="s">
        <v>304</v>
      </c>
      <c r="AT51" s="36" t="s">
        <v>305</v>
      </c>
      <c r="AW51" s="36" t="s">
        <v>307</v>
      </c>
      <c r="AX51" s="36" t="s">
        <v>306</v>
      </c>
      <c r="AY51" s="36" t="s">
        <v>304</v>
      </c>
      <c r="AZ51" s="36" t="s">
        <v>305</v>
      </c>
    </row>
    <row r="52" spans="1:52" x14ac:dyDescent="0.35">
      <c r="A52" s="221"/>
      <c r="B52" s="221" t="s">
        <v>304</v>
      </c>
      <c r="C52" s="224">
        <f>C49</f>
        <v>0.1</v>
      </c>
      <c r="D52" s="214"/>
      <c r="E52" s="223" t="s">
        <v>304</v>
      </c>
      <c r="F52" s="222">
        <f>F49</f>
        <v>0.69640000000000002</v>
      </c>
      <c r="G52" s="213" t="s">
        <v>303</v>
      </c>
      <c r="I52" s="36" t="s">
        <v>302</v>
      </c>
      <c r="K52" s="36">
        <v>3</v>
      </c>
      <c r="L52" s="36" t="s">
        <v>289</v>
      </c>
      <c r="AP52" s="36" t="s">
        <v>301</v>
      </c>
      <c r="AQ52" s="36">
        <f>J3</f>
        <v>508.87863186611003</v>
      </c>
      <c r="AR52" s="36">
        <f>J2</f>
        <v>6.7655641692480533</v>
      </c>
      <c r="AW52" s="36">
        <f>AK60</f>
        <v>508.6</v>
      </c>
      <c r="AX52" s="36">
        <f>[1]!PropsSI("S","T",AW52+273.15,"P",AY52*10^6,"Water")/1000</f>
        <v>6.7646887174161376</v>
      </c>
      <c r="AY52" s="36">
        <f>AK59</f>
        <v>7.8449999999999998</v>
      </c>
    </row>
    <row r="53" spans="1:52" x14ac:dyDescent="0.35">
      <c r="A53" s="221"/>
      <c r="B53" s="220" t="s">
        <v>300</v>
      </c>
      <c r="C53" s="219">
        <f>C50-D54/(B54*$K$29)</f>
        <v>479.56960714336066</v>
      </c>
      <c r="D53" s="214"/>
      <c r="E53" s="218" t="s">
        <v>299</v>
      </c>
      <c r="F53" s="217">
        <f>[1]!PropsSI("H","T",F51+273.15,"P",F52*10^6,"Water")/1000</f>
        <v>251.74839576328077</v>
      </c>
      <c r="G53" s="213" t="s">
        <v>298</v>
      </c>
      <c r="I53" s="36" t="s">
        <v>297</v>
      </c>
      <c r="K53" s="36">
        <v>7.9024442524665233</v>
      </c>
      <c r="L53" s="36" t="s">
        <v>289</v>
      </c>
      <c r="AP53" s="36" t="s">
        <v>296</v>
      </c>
      <c r="AQ53" s="36">
        <f>K16</f>
        <v>210.55666437183908</v>
      </c>
      <c r="AS53" s="36">
        <f>K17</f>
        <v>0.61099999999999999</v>
      </c>
    </row>
    <row r="54" spans="1:52" x14ac:dyDescent="0.35">
      <c r="A54" s="216" t="s">
        <v>295</v>
      </c>
      <c r="B54" s="216">
        <f>B45</f>
        <v>503.8</v>
      </c>
      <c r="C54" s="215" t="s">
        <v>294</v>
      </c>
      <c r="D54" s="215">
        <f>F54*(F50-F53)</f>
        <v>38150.466414510687</v>
      </c>
      <c r="E54" s="214" t="s">
        <v>293</v>
      </c>
      <c r="F54" s="214">
        <f>F45+F27+S36</f>
        <v>88.452287266464054</v>
      </c>
      <c r="G54" s="213"/>
      <c r="I54" s="36" t="s">
        <v>292</v>
      </c>
      <c r="K54" s="36">
        <v>10.761638564565942</v>
      </c>
      <c r="L54" s="36" t="s">
        <v>289</v>
      </c>
      <c r="AP54" s="36" t="s">
        <v>291</v>
      </c>
    </row>
    <row r="55" spans="1:52" x14ac:dyDescent="0.35">
      <c r="I55" s="36" t="s">
        <v>290</v>
      </c>
      <c r="K55" s="36">
        <v>3</v>
      </c>
      <c r="L55" s="36" t="s">
        <v>289</v>
      </c>
      <c r="AP55" s="36" t="s">
        <v>288</v>
      </c>
    </row>
    <row r="56" spans="1:52" x14ac:dyDescent="0.35">
      <c r="AG56" s="36" t="s">
        <v>29</v>
      </c>
      <c r="AP56" s="36" t="s">
        <v>287</v>
      </c>
    </row>
    <row r="57" spans="1:52" x14ac:dyDescent="0.35">
      <c r="A57" s="36" t="s">
        <v>285</v>
      </c>
      <c r="C57" s="36">
        <f>(J10+N10+R10)*K38*K39</f>
        <v>73.878987265320006</v>
      </c>
      <c r="D57" s="36" t="s">
        <v>90</v>
      </c>
      <c r="AF57" s="36">
        <v>10</v>
      </c>
      <c r="AG57" s="36" t="s">
        <v>30</v>
      </c>
      <c r="AP57" s="36" t="s">
        <v>257</v>
      </c>
    </row>
    <row r="58" spans="1:52" x14ac:dyDescent="0.35">
      <c r="A58" s="36" t="s">
        <v>286</v>
      </c>
      <c r="C58" s="36">
        <f>S25+X25+S37</f>
        <v>1.1395779115878175</v>
      </c>
      <c r="D58" s="36" t="s">
        <v>90</v>
      </c>
      <c r="AG58" s="36" t="s">
        <v>25</v>
      </c>
      <c r="AK58" s="36">
        <v>63.4</v>
      </c>
    </row>
    <row r="59" spans="1:52" x14ac:dyDescent="0.35">
      <c r="A59" s="36" t="s">
        <v>285</v>
      </c>
      <c r="C59" s="36">
        <f>C57-C58</f>
        <v>72.739409353732185</v>
      </c>
      <c r="D59" s="36" t="s">
        <v>90</v>
      </c>
      <c r="AG59" s="36" t="s">
        <v>26</v>
      </c>
      <c r="AK59" s="36">
        <v>7.8449999999999998</v>
      </c>
    </row>
    <row r="60" spans="1:52" x14ac:dyDescent="0.35">
      <c r="A60" s="36" t="s">
        <v>284</v>
      </c>
      <c r="C60" s="36">
        <f>'[2]Данные ПГУ ISO'!C86</f>
        <v>75.27</v>
      </c>
      <c r="D60" s="36" t="s">
        <v>90</v>
      </c>
      <c r="AG60" s="36" t="s">
        <v>32</v>
      </c>
      <c r="AK60" s="36">
        <v>508.6</v>
      </c>
    </row>
    <row r="61" spans="1:52" x14ac:dyDescent="0.35">
      <c r="AF61" s="36">
        <v>11</v>
      </c>
      <c r="AG61" s="36" t="s">
        <v>33</v>
      </c>
    </row>
    <row r="62" spans="1:52" x14ac:dyDescent="0.35">
      <c r="AG62" s="36" t="s">
        <v>25</v>
      </c>
      <c r="AK62" s="36">
        <v>14.76</v>
      </c>
    </row>
    <row r="63" spans="1:52" x14ac:dyDescent="0.35">
      <c r="A63" s="36" t="s">
        <v>283</v>
      </c>
      <c r="AG63" s="36" t="s">
        <v>26</v>
      </c>
      <c r="AK63" s="36">
        <v>0.61099999999999999</v>
      </c>
    </row>
    <row r="64" spans="1:52" x14ac:dyDescent="0.35">
      <c r="A64" s="36" t="s">
        <v>282</v>
      </c>
      <c r="AG64" s="36" t="s">
        <v>27</v>
      </c>
      <c r="AK64" s="36">
        <v>209.8</v>
      </c>
    </row>
    <row r="65" spans="1:38" x14ac:dyDescent="0.35">
      <c r="AF65" s="36">
        <v>12</v>
      </c>
      <c r="AG65" s="36" t="s">
        <v>34</v>
      </c>
    </row>
    <row r="66" spans="1:38" x14ac:dyDescent="0.35">
      <c r="A66" s="211" t="s">
        <v>281</v>
      </c>
      <c r="B66" s="36" t="s">
        <v>272</v>
      </c>
      <c r="C66" s="36" t="s">
        <v>272</v>
      </c>
      <c r="D66" s="36" t="s">
        <v>271</v>
      </c>
      <c r="E66" s="36" t="s">
        <v>270</v>
      </c>
      <c r="F66" s="36" t="s">
        <v>269</v>
      </c>
      <c r="G66" s="36" t="s">
        <v>268</v>
      </c>
      <c r="H66" s="36" t="s">
        <v>267</v>
      </c>
      <c r="AG66" s="36" t="s">
        <v>31</v>
      </c>
      <c r="AK66" s="36">
        <v>78.16</v>
      </c>
    </row>
    <row r="67" spans="1:38" x14ac:dyDescent="0.35">
      <c r="A67" s="211" t="s">
        <v>266</v>
      </c>
      <c r="B67" s="1">
        <f>C3</f>
        <v>542.1</v>
      </c>
      <c r="C67" s="36">
        <f>C6</f>
        <v>468.07511189228387</v>
      </c>
      <c r="D67" s="36">
        <f>C15</f>
        <v>309.2</v>
      </c>
      <c r="E67" s="36">
        <f>C24</f>
        <v>236.62133360145555</v>
      </c>
      <c r="F67" s="36">
        <f>C33</f>
        <v>233.63054078077988</v>
      </c>
      <c r="G67" s="36">
        <f>C42</f>
        <v>175.5</v>
      </c>
      <c r="H67" s="36">
        <f>C51</f>
        <v>103.43945961238336</v>
      </c>
      <c r="AG67" s="36" t="s">
        <v>26</v>
      </c>
      <c r="AK67" s="36">
        <v>0.54900000000000004</v>
      </c>
      <c r="AL67" s="36">
        <f>AK67-AK63</f>
        <v>-6.1999999999999944E-2</v>
      </c>
    </row>
    <row r="68" spans="1:38" x14ac:dyDescent="0.35">
      <c r="A68" s="212" t="s">
        <v>280</v>
      </c>
      <c r="B68" s="36">
        <v>0</v>
      </c>
      <c r="C68" s="36">
        <f>B68+D9/1000</f>
        <v>42.422295222573879</v>
      </c>
      <c r="D68" s="36">
        <f>C68+D18/1000</f>
        <v>131.01930160311537</v>
      </c>
      <c r="E68" s="211">
        <f>D68+D27/1000</f>
        <v>170.42146138104755</v>
      </c>
      <c r="F68" s="36">
        <f>E68+D36/1000</f>
        <v>172.03201144120462</v>
      </c>
      <c r="G68" s="36">
        <f>F68+D45/1000</f>
        <v>203.14944993981317</v>
      </c>
      <c r="H68" s="36">
        <f>G68+D54/1000</f>
        <v>241.29991635432384</v>
      </c>
      <c r="AG68" s="36" t="s">
        <v>35</v>
      </c>
      <c r="AK68" s="36">
        <v>197.8</v>
      </c>
    </row>
    <row r="69" spans="1:38" x14ac:dyDescent="0.35">
      <c r="C69" s="210"/>
      <c r="AF69" s="36">
        <v>13</v>
      </c>
      <c r="AG69" s="36" t="s">
        <v>36</v>
      </c>
    </row>
    <row r="70" spans="1:38" x14ac:dyDescent="0.35">
      <c r="A70" s="36" t="s">
        <v>279</v>
      </c>
      <c r="AG70" s="36" t="s">
        <v>31</v>
      </c>
      <c r="AK70" s="36">
        <v>0</v>
      </c>
    </row>
    <row r="71" spans="1:38" x14ac:dyDescent="0.35">
      <c r="B71" s="36">
        <v>542.1</v>
      </c>
      <c r="C71" s="36">
        <v>468.05</v>
      </c>
      <c r="D71" s="36">
        <v>309.2</v>
      </c>
      <c r="E71" s="36">
        <v>235.9</v>
      </c>
      <c r="F71" s="36">
        <v>233</v>
      </c>
      <c r="G71" s="36">
        <v>175.5</v>
      </c>
      <c r="H71" s="36">
        <v>106.9</v>
      </c>
      <c r="AG71" s="36" t="s">
        <v>26</v>
      </c>
      <c r="AK71" s="36">
        <v>0.25419999999999998</v>
      </c>
    </row>
    <row r="72" spans="1:38" x14ac:dyDescent="0.35">
      <c r="A72" s="36" t="str">
        <f t="shared" ref="A72:G72" si="0">A68</f>
        <v>Q</v>
      </c>
      <c r="B72" s="36">
        <f t="shared" si="0"/>
        <v>0</v>
      </c>
      <c r="C72" s="36">
        <f t="shared" si="0"/>
        <v>42.422295222573879</v>
      </c>
      <c r="D72" s="36">
        <f t="shared" si="0"/>
        <v>131.01930160311537</v>
      </c>
      <c r="E72" s="36">
        <f t="shared" si="0"/>
        <v>170.42146138104755</v>
      </c>
      <c r="F72" s="36">
        <f t="shared" si="0"/>
        <v>172.03201144120462</v>
      </c>
      <c r="G72" s="36">
        <f t="shared" si="0"/>
        <v>203.14944993981317</v>
      </c>
      <c r="H72" s="36">
        <f>G72+(H68-G68)/(H67-G67)*(H71-G71)</f>
        <v>239.46782865245984</v>
      </c>
      <c r="AG72" s="36" t="s">
        <v>27</v>
      </c>
      <c r="AK72" s="36">
        <v>131.4</v>
      </c>
    </row>
    <row r="73" spans="1:38" x14ac:dyDescent="0.35">
      <c r="A73" s="36" t="s">
        <v>278</v>
      </c>
      <c r="B73" s="36" t="s">
        <v>277</v>
      </c>
      <c r="AF73" s="36">
        <v>14</v>
      </c>
      <c r="AG73" s="36" t="s">
        <v>37</v>
      </c>
    </row>
    <row r="74" spans="1:38" x14ac:dyDescent="0.35">
      <c r="A74" s="36" t="s">
        <v>273</v>
      </c>
      <c r="B74" s="36" t="s">
        <v>272</v>
      </c>
      <c r="D74" s="36" t="s">
        <v>271</v>
      </c>
      <c r="F74" s="36" t="s">
        <v>270</v>
      </c>
      <c r="H74" s="36" t="s">
        <v>269</v>
      </c>
      <c r="J74" s="36" t="s">
        <v>268</v>
      </c>
      <c r="L74" s="36" t="s">
        <v>267</v>
      </c>
      <c r="AG74" s="36" t="s">
        <v>31</v>
      </c>
      <c r="AK74" s="36">
        <v>0</v>
      </c>
    </row>
    <row r="75" spans="1:38" x14ac:dyDescent="0.35">
      <c r="A75" s="36" t="s">
        <v>266</v>
      </c>
      <c r="B75" s="36">
        <f>F3</f>
        <v>511.5</v>
      </c>
      <c r="C75" s="36">
        <f>F6</f>
        <v>301.29755574753347</v>
      </c>
      <c r="D75" s="36">
        <f>F12</f>
        <v>301.29755574753347</v>
      </c>
      <c r="E75" s="36">
        <f>F15</f>
        <v>298.29755574753347</v>
      </c>
      <c r="F75" s="36">
        <f>F21</f>
        <v>298.29755574753347</v>
      </c>
      <c r="G75" s="36">
        <f>F24</f>
        <v>166.22157513753592</v>
      </c>
      <c r="H75" s="36">
        <f>F30</f>
        <v>212.32133360145554</v>
      </c>
      <c r="I75" s="36">
        <f>F33</f>
        <v>164.73836143543406</v>
      </c>
      <c r="J75" s="36">
        <f>F39</f>
        <v>164.73836143543406</v>
      </c>
      <c r="K75" s="36">
        <f>F42</f>
        <v>161.73836143543406</v>
      </c>
      <c r="L75" s="36">
        <f>F48</f>
        <v>161.73836143543406</v>
      </c>
      <c r="M75" s="36">
        <f>F51</f>
        <v>60</v>
      </c>
      <c r="AG75" s="36" t="s">
        <v>26</v>
      </c>
      <c r="AK75" s="36">
        <v>0.1525</v>
      </c>
    </row>
    <row r="76" spans="1:38" x14ac:dyDescent="0.35">
      <c r="A76" s="36" t="str">
        <f>A72</f>
        <v>Q</v>
      </c>
      <c r="B76" s="36">
        <f>B72</f>
        <v>0</v>
      </c>
      <c r="C76" s="36">
        <f>C72</f>
        <v>42.422295222573879</v>
      </c>
      <c r="D76" s="36">
        <f>C76</f>
        <v>42.422295222573879</v>
      </c>
      <c r="E76" s="36">
        <f>D72</f>
        <v>131.01930160311537</v>
      </c>
      <c r="F76" s="36">
        <f>E76</f>
        <v>131.01930160311537</v>
      </c>
      <c r="G76" s="36">
        <f>E72</f>
        <v>170.42146138104755</v>
      </c>
      <c r="H76" s="36">
        <f>G76</f>
        <v>170.42146138104755</v>
      </c>
      <c r="I76" s="36">
        <f>F72</f>
        <v>172.03201144120462</v>
      </c>
      <c r="J76" s="36">
        <f>I76</f>
        <v>172.03201144120462</v>
      </c>
      <c r="K76" s="36">
        <f>G72</f>
        <v>203.14944993981317</v>
      </c>
      <c r="L76" s="36">
        <f>K76</f>
        <v>203.14944993981317</v>
      </c>
      <c r="M76" s="36">
        <f>H68</f>
        <v>241.29991635432384</v>
      </c>
      <c r="AG76" s="36" t="s">
        <v>27</v>
      </c>
      <c r="AK76" s="36">
        <v>111.8</v>
      </c>
    </row>
    <row r="77" spans="1:38" x14ac:dyDescent="0.35">
      <c r="AF77" s="36">
        <v>15</v>
      </c>
      <c r="AG77" s="36" t="s">
        <v>38</v>
      </c>
    </row>
    <row r="78" spans="1:38" x14ac:dyDescent="0.35">
      <c r="A78" s="36" t="s">
        <v>276</v>
      </c>
      <c r="AG78" s="36" t="s">
        <v>31</v>
      </c>
      <c r="AK78" s="36">
        <v>78.16</v>
      </c>
    </row>
    <row r="79" spans="1:38" x14ac:dyDescent="0.35">
      <c r="A79" s="36" t="s">
        <v>275</v>
      </c>
      <c r="B79" s="36" t="s">
        <v>274</v>
      </c>
      <c r="AG79" s="36" t="s">
        <v>27</v>
      </c>
      <c r="AK79" s="36">
        <v>111.8</v>
      </c>
    </row>
    <row r="80" spans="1:38" x14ac:dyDescent="0.35">
      <c r="A80" s="36" t="s">
        <v>273</v>
      </c>
      <c r="B80" s="36" t="s">
        <v>272</v>
      </c>
      <c r="D80" s="36" t="s">
        <v>271</v>
      </c>
      <c r="F80" s="36" t="s">
        <v>270</v>
      </c>
      <c r="H80" s="36" t="s">
        <v>269</v>
      </c>
      <c r="J80" s="36" t="s">
        <v>268</v>
      </c>
      <c r="L80" s="36" t="s">
        <v>267</v>
      </c>
      <c r="AG80" s="36" t="s">
        <v>39</v>
      </c>
      <c r="AK80" s="36" t="s">
        <v>178</v>
      </c>
    </row>
    <row r="81" spans="1:37" x14ac:dyDescent="0.35">
      <c r="A81" s="36" t="s">
        <v>266</v>
      </c>
      <c r="B81" s="36">
        <v>511.5</v>
      </c>
      <c r="C81" s="36">
        <f>D81</f>
        <v>301.29755574753347</v>
      </c>
      <c r="D81" s="36">
        <f>D75</f>
        <v>301.29755574753347</v>
      </c>
      <c r="E81" s="36">
        <f>F81</f>
        <v>298.8</v>
      </c>
      <c r="F81" s="36">
        <v>298.8</v>
      </c>
      <c r="G81" s="36">
        <v>166.5</v>
      </c>
      <c r="H81" s="36">
        <v>211.6</v>
      </c>
      <c r="I81" s="36">
        <f>J81</f>
        <v>164.73836143543406</v>
      </c>
      <c r="J81" s="36">
        <f>J75</f>
        <v>164.73836143543406</v>
      </c>
      <c r="K81" s="36">
        <f>L81</f>
        <v>164.6</v>
      </c>
      <c r="L81" s="36">
        <v>164.6</v>
      </c>
      <c r="M81" s="36">
        <v>60</v>
      </c>
      <c r="AF81" s="36">
        <v>16</v>
      </c>
      <c r="AG81" s="36" t="s">
        <v>53</v>
      </c>
    </row>
    <row r="82" spans="1:37" x14ac:dyDescent="0.35">
      <c r="A82" s="36" t="str">
        <f>A78</f>
        <v>Пар из отчета</v>
      </c>
      <c r="B82" s="36">
        <f>B78</f>
        <v>0</v>
      </c>
      <c r="C82" s="36">
        <f>C76</f>
        <v>42.422295222573879</v>
      </c>
      <c r="D82" s="36">
        <f>C82</f>
        <v>42.422295222573879</v>
      </c>
      <c r="E82" s="36">
        <f>E76</f>
        <v>131.01930160311537</v>
      </c>
      <c r="F82" s="36">
        <f>E82</f>
        <v>131.01930160311537</v>
      </c>
      <c r="G82" s="36">
        <f>G76</f>
        <v>170.42146138104755</v>
      </c>
      <c r="H82" s="36">
        <f>G82</f>
        <v>170.42146138104755</v>
      </c>
      <c r="I82" s="36">
        <f>I76</f>
        <v>172.03201144120462</v>
      </c>
      <c r="J82" s="36">
        <f>I82</f>
        <v>172.03201144120462</v>
      </c>
      <c r="K82" s="36">
        <f>K76</f>
        <v>203.14944993981317</v>
      </c>
      <c r="L82" s="36">
        <f>K82</f>
        <v>203.14944993981317</v>
      </c>
      <c r="M82" s="36">
        <f>H72</f>
        <v>239.46782865245984</v>
      </c>
      <c r="AG82" s="36" t="s">
        <v>31</v>
      </c>
      <c r="AK82" s="36">
        <v>78.16</v>
      </c>
    </row>
    <row r="83" spans="1:37" x14ac:dyDescent="0.35">
      <c r="AG83" s="36" t="s">
        <v>26</v>
      </c>
      <c r="AK83" s="36">
        <v>8.0000000000000002E-3</v>
      </c>
    </row>
    <row r="84" spans="1:37" x14ac:dyDescent="0.35">
      <c r="AG84" s="36" t="s">
        <v>39</v>
      </c>
      <c r="AK84" s="36" t="s">
        <v>190</v>
      </c>
    </row>
    <row r="85" spans="1:37" x14ac:dyDescent="0.35">
      <c r="AG85" s="36" t="s">
        <v>52</v>
      </c>
      <c r="AK85" s="36" t="s">
        <v>182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50258-EAEC-48C2-959C-531F5FA26275}">
  <sheetPr codeName="Лист3"/>
  <dimension ref="A1:N710"/>
  <sheetViews>
    <sheetView topLeftCell="A268" zoomScale="70" zoomScaleNormal="70" workbookViewId="0">
      <selection activeCell="C325" sqref="C325"/>
    </sheetView>
  </sheetViews>
  <sheetFormatPr defaultRowHeight="14.5" x14ac:dyDescent="0.35"/>
  <cols>
    <col min="1" max="1" width="8.7265625" style="42"/>
    <col min="2" max="2" width="50" style="42" customWidth="1"/>
    <col min="3" max="9" width="8.7265625" style="42"/>
    <col min="10" max="10" width="8.7265625" style="43"/>
    <col min="11" max="16384" width="8.7265625" style="42"/>
  </cols>
  <sheetData>
    <row r="1" spans="1:13" ht="15" thickBot="1" x14ac:dyDescent="0.4"/>
    <row r="2" spans="1:13" ht="15.5" thickTop="1" thickBot="1" x14ac:dyDescent="0.4">
      <c r="A2" s="392" t="s">
        <v>0</v>
      </c>
      <c r="B2" s="390" t="s">
        <v>1</v>
      </c>
      <c r="C2" s="395" t="s">
        <v>2</v>
      </c>
      <c r="D2" s="396"/>
      <c r="E2" s="396"/>
      <c r="F2" s="396"/>
      <c r="G2" s="396"/>
      <c r="H2" s="396"/>
      <c r="I2" s="396"/>
      <c r="J2" s="396"/>
      <c r="K2" s="396"/>
      <c r="L2" s="396"/>
      <c r="M2" s="397"/>
    </row>
    <row r="3" spans="1:13" ht="15.5" thickTop="1" thickBot="1" x14ac:dyDescent="0.4">
      <c r="A3" s="393"/>
      <c r="B3" s="376"/>
      <c r="C3" s="44">
        <v>-40</v>
      </c>
      <c r="D3" s="44">
        <v>-28</v>
      </c>
      <c r="E3" s="44">
        <v>-20</v>
      </c>
      <c r="F3" s="45">
        <v>-10.199999999999999</v>
      </c>
      <c r="G3" s="46">
        <v>-3.1</v>
      </c>
      <c r="H3" s="44">
        <v>-2.5</v>
      </c>
      <c r="I3" s="44">
        <v>15</v>
      </c>
      <c r="J3" s="47">
        <v>37</v>
      </c>
      <c r="K3" s="44">
        <v>37</v>
      </c>
      <c r="L3" s="44">
        <v>15</v>
      </c>
      <c r="M3" s="44">
        <v>37</v>
      </c>
    </row>
    <row r="4" spans="1:13" ht="15.5" thickTop="1" thickBot="1" x14ac:dyDescent="0.4">
      <c r="A4" s="394"/>
      <c r="B4" s="44" t="s">
        <v>3</v>
      </c>
      <c r="C4" s="398" t="s">
        <v>4</v>
      </c>
      <c r="D4" s="399"/>
      <c r="E4" s="399"/>
      <c r="F4" s="399"/>
      <c r="G4" s="399"/>
      <c r="H4" s="399"/>
      <c r="I4" s="400"/>
      <c r="J4" s="48" t="s">
        <v>5</v>
      </c>
      <c r="K4" s="49" t="s">
        <v>6</v>
      </c>
      <c r="L4" s="401" t="s">
        <v>7</v>
      </c>
      <c r="M4" s="402"/>
    </row>
    <row r="5" spans="1:13" ht="15.5" customHeight="1" thickTop="1" thickBot="1" x14ac:dyDescent="0.4">
      <c r="A5" s="387" t="s">
        <v>8</v>
      </c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  <c r="M5" s="389"/>
    </row>
    <row r="6" spans="1:13" ht="15.5" thickTop="1" thickBot="1" x14ac:dyDescent="0.4">
      <c r="A6" s="50">
        <v>1</v>
      </c>
      <c r="B6" s="51" t="s">
        <v>9</v>
      </c>
      <c r="C6" s="382">
        <v>100</v>
      </c>
      <c r="D6" s="383"/>
      <c r="E6" s="383"/>
      <c r="F6" s="383"/>
      <c r="G6" s="383"/>
      <c r="H6" s="383"/>
      <c r="I6" s="383"/>
      <c r="J6" s="383"/>
      <c r="K6" s="383"/>
      <c r="L6" s="383"/>
      <c r="M6" s="384"/>
    </row>
    <row r="7" spans="1:13" ht="15" thickBot="1" x14ac:dyDescent="0.4">
      <c r="A7" s="50">
        <v>2</v>
      </c>
      <c r="B7" s="51" t="s">
        <v>10</v>
      </c>
      <c r="C7" s="52">
        <v>170</v>
      </c>
      <c r="D7" s="52">
        <v>170</v>
      </c>
      <c r="E7" s="52">
        <v>170</v>
      </c>
      <c r="F7" s="53">
        <v>169.4</v>
      </c>
      <c r="G7" s="53">
        <v>163.5</v>
      </c>
      <c r="H7" s="52">
        <v>163</v>
      </c>
      <c r="I7" s="52">
        <v>148.19999999999999</v>
      </c>
      <c r="J7" s="54">
        <v>128.6</v>
      </c>
      <c r="K7" s="52">
        <v>128.6</v>
      </c>
      <c r="L7" s="52">
        <v>148.19999999999999</v>
      </c>
      <c r="M7" s="55">
        <v>128.6</v>
      </c>
    </row>
    <row r="8" spans="1:13" ht="15" thickBot="1" x14ac:dyDescent="0.4">
      <c r="A8" s="50">
        <v>3</v>
      </c>
      <c r="B8" s="51" t="s">
        <v>11</v>
      </c>
      <c r="C8" s="52">
        <v>34.520000000000003</v>
      </c>
      <c r="D8" s="52">
        <v>34.5</v>
      </c>
      <c r="E8" s="52">
        <v>34.49</v>
      </c>
      <c r="F8" s="53">
        <v>34.36</v>
      </c>
      <c r="G8" s="53">
        <v>34.15</v>
      </c>
      <c r="H8" s="52">
        <v>34.130000000000003</v>
      </c>
      <c r="I8" s="52">
        <v>33.44</v>
      </c>
      <c r="J8" s="54">
        <v>32.15</v>
      </c>
      <c r="K8" s="52">
        <v>32.15</v>
      </c>
      <c r="L8" s="52">
        <v>33.44</v>
      </c>
      <c r="M8" s="55">
        <v>32.15</v>
      </c>
    </row>
    <row r="9" spans="1:13" ht="15.5" x14ac:dyDescent="0.35">
      <c r="A9" s="385">
        <v>4</v>
      </c>
      <c r="B9" s="56" t="s">
        <v>12</v>
      </c>
      <c r="C9" s="57"/>
      <c r="D9" s="57"/>
      <c r="E9" s="57"/>
      <c r="F9" s="57"/>
      <c r="G9" s="57"/>
      <c r="H9" s="57"/>
      <c r="I9" s="57"/>
      <c r="J9" s="58"/>
      <c r="K9" s="57"/>
      <c r="L9" s="57"/>
      <c r="M9" s="59"/>
    </row>
    <row r="10" spans="1:13" ht="15" thickBot="1" x14ac:dyDescent="0.4">
      <c r="A10" s="386"/>
      <c r="B10" s="51" t="s">
        <v>13</v>
      </c>
      <c r="C10" s="52">
        <v>10.029999999999999</v>
      </c>
      <c r="D10" s="52">
        <v>10.039999999999999</v>
      </c>
      <c r="E10" s="52">
        <v>10.039999999999999</v>
      </c>
      <c r="F10" s="53">
        <v>10.039999999999999</v>
      </c>
      <c r="G10" s="60">
        <v>9.75</v>
      </c>
      <c r="H10" s="52">
        <v>9.73</v>
      </c>
      <c r="I10" s="52">
        <v>9.0299999999999994</v>
      </c>
      <c r="J10" s="54">
        <v>8.15</v>
      </c>
      <c r="K10" s="52">
        <v>8.15</v>
      </c>
      <c r="L10" s="52">
        <v>9.0299999999999994</v>
      </c>
      <c r="M10" s="55">
        <v>8.15</v>
      </c>
    </row>
    <row r="11" spans="1:13" ht="15" thickBot="1" x14ac:dyDescent="0.4">
      <c r="A11" s="50">
        <v>5</v>
      </c>
      <c r="B11" s="51" t="s">
        <v>14</v>
      </c>
      <c r="C11" s="52">
        <v>513.6</v>
      </c>
      <c r="D11" s="52">
        <v>521</v>
      </c>
      <c r="E11" s="52">
        <v>526.29999999999995</v>
      </c>
      <c r="F11" s="53">
        <v>531.5</v>
      </c>
      <c r="G11" s="53">
        <v>522</v>
      </c>
      <c r="H11" s="52">
        <v>521.1</v>
      </c>
      <c r="I11" s="52">
        <v>494.6</v>
      </c>
      <c r="J11" s="54">
        <v>452.1</v>
      </c>
      <c r="K11" s="52">
        <v>452.1</v>
      </c>
      <c r="L11" s="52">
        <v>494.6</v>
      </c>
      <c r="M11" s="55">
        <v>452.1</v>
      </c>
    </row>
    <row r="12" spans="1:13" ht="15" thickBot="1" x14ac:dyDescent="0.4">
      <c r="A12" s="61">
        <v>6</v>
      </c>
      <c r="B12" s="62" t="s">
        <v>15</v>
      </c>
      <c r="C12" s="63">
        <v>523.5</v>
      </c>
      <c r="D12" s="63">
        <v>527.29999999999995</v>
      </c>
      <c r="E12" s="63">
        <v>529.79999999999995</v>
      </c>
      <c r="F12" s="64">
        <v>532.9</v>
      </c>
      <c r="G12" s="64">
        <v>535</v>
      </c>
      <c r="H12" s="63">
        <v>535.20000000000005</v>
      </c>
      <c r="I12" s="63">
        <v>542.20000000000005</v>
      </c>
      <c r="J12" s="65">
        <v>557.9</v>
      </c>
      <c r="K12" s="63">
        <v>557.9</v>
      </c>
      <c r="L12" s="63">
        <v>542.20000000000005</v>
      </c>
      <c r="M12" s="44">
        <v>557.9</v>
      </c>
    </row>
    <row r="13" spans="1:13" ht="15.5" customHeight="1" thickTop="1" thickBot="1" x14ac:dyDescent="0.4">
      <c r="A13" s="387" t="s">
        <v>16</v>
      </c>
      <c r="B13" s="388"/>
      <c r="C13" s="388"/>
      <c r="D13" s="388"/>
      <c r="E13" s="388"/>
      <c r="F13" s="388"/>
      <c r="G13" s="388"/>
      <c r="H13" s="388"/>
      <c r="I13" s="388"/>
      <c r="J13" s="388"/>
      <c r="K13" s="388"/>
      <c r="L13" s="388"/>
      <c r="M13" s="389"/>
    </row>
    <row r="14" spans="1:13" ht="15.5" thickTop="1" thickBot="1" x14ac:dyDescent="0.4">
      <c r="A14" s="390">
        <v>7</v>
      </c>
      <c r="B14" s="51" t="s">
        <v>17</v>
      </c>
      <c r="C14" s="379"/>
      <c r="D14" s="380"/>
      <c r="E14" s="380"/>
      <c r="F14" s="380"/>
      <c r="G14" s="380"/>
      <c r="H14" s="380"/>
      <c r="I14" s="380"/>
      <c r="J14" s="380"/>
      <c r="K14" s="380"/>
      <c r="L14" s="380"/>
      <c r="M14" s="381"/>
    </row>
    <row r="15" spans="1:13" ht="15" thickBot="1" x14ac:dyDescent="0.4">
      <c r="A15" s="375"/>
      <c r="B15" s="51" t="s">
        <v>18</v>
      </c>
      <c r="C15" s="52">
        <v>457.2</v>
      </c>
      <c r="D15" s="52">
        <v>459.8</v>
      </c>
      <c r="E15" s="52">
        <v>461.3</v>
      </c>
      <c r="F15" s="53">
        <v>463.2</v>
      </c>
      <c r="G15" s="53">
        <v>464.3</v>
      </c>
      <c r="H15" s="52">
        <v>464.4</v>
      </c>
      <c r="I15" s="52">
        <v>467.9</v>
      </c>
      <c r="J15" s="54">
        <v>476.1</v>
      </c>
      <c r="K15" s="52">
        <v>476.1</v>
      </c>
      <c r="L15" s="52">
        <v>467.9</v>
      </c>
      <c r="M15" s="55">
        <v>476.1</v>
      </c>
    </row>
    <row r="16" spans="1:13" ht="15" thickBot="1" x14ac:dyDescent="0.4">
      <c r="A16" s="375"/>
      <c r="B16" s="51" t="s">
        <v>19</v>
      </c>
      <c r="C16" s="52">
        <v>305.89999999999998</v>
      </c>
      <c r="D16" s="52">
        <v>307.89999999999998</v>
      </c>
      <c r="E16" s="52">
        <v>309.3</v>
      </c>
      <c r="F16" s="53">
        <v>310.8</v>
      </c>
      <c r="G16" s="53">
        <v>310</v>
      </c>
      <c r="H16" s="52">
        <v>309.89999999999998</v>
      </c>
      <c r="I16" s="52">
        <v>307.8</v>
      </c>
      <c r="J16" s="54">
        <v>305</v>
      </c>
      <c r="K16" s="52">
        <v>305</v>
      </c>
      <c r="L16" s="52">
        <v>307.8</v>
      </c>
      <c r="M16" s="55">
        <v>305</v>
      </c>
    </row>
    <row r="17" spans="1:13" ht="15" thickBot="1" x14ac:dyDescent="0.4">
      <c r="A17" s="375"/>
      <c r="B17" s="51" t="s">
        <v>20</v>
      </c>
      <c r="C17" s="52">
        <v>237.4</v>
      </c>
      <c r="D17" s="52">
        <v>238</v>
      </c>
      <c r="E17" s="52">
        <v>238.3</v>
      </c>
      <c r="F17" s="53">
        <v>238.6</v>
      </c>
      <c r="G17" s="53">
        <v>237.7</v>
      </c>
      <c r="H17" s="52">
        <v>237.6</v>
      </c>
      <c r="I17" s="52">
        <v>235</v>
      </c>
      <c r="J17" s="54">
        <v>230.5</v>
      </c>
      <c r="K17" s="52">
        <v>230.5</v>
      </c>
      <c r="L17" s="52">
        <v>235</v>
      </c>
      <c r="M17" s="55">
        <v>230.5</v>
      </c>
    </row>
    <row r="18" spans="1:13" ht="15" thickBot="1" x14ac:dyDescent="0.4">
      <c r="A18" s="375"/>
      <c r="B18" s="51" t="s">
        <v>21</v>
      </c>
      <c r="C18" s="52">
        <v>234.4</v>
      </c>
      <c r="D18" s="52">
        <v>235</v>
      </c>
      <c r="E18" s="52">
        <v>235.3</v>
      </c>
      <c r="F18" s="53">
        <v>235.6</v>
      </c>
      <c r="G18" s="53">
        <v>234.6</v>
      </c>
      <c r="H18" s="52">
        <v>234.5</v>
      </c>
      <c r="I18" s="52">
        <v>232</v>
      </c>
      <c r="J18" s="54">
        <v>227.6</v>
      </c>
      <c r="K18" s="52">
        <v>227.6</v>
      </c>
      <c r="L18" s="52">
        <v>232.1</v>
      </c>
      <c r="M18" s="55">
        <v>227.7</v>
      </c>
    </row>
    <row r="19" spans="1:13" ht="15" thickBot="1" x14ac:dyDescent="0.4">
      <c r="A19" s="375"/>
      <c r="B19" s="51" t="s">
        <v>22</v>
      </c>
      <c r="C19" s="52">
        <v>175.5</v>
      </c>
      <c r="D19" s="52">
        <v>176.5</v>
      </c>
      <c r="E19" s="52">
        <v>176.5</v>
      </c>
      <c r="F19" s="53">
        <v>176.3</v>
      </c>
      <c r="G19" s="53">
        <v>175.1</v>
      </c>
      <c r="H19" s="52">
        <v>175</v>
      </c>
      <c r="I19" s="52">
        <v>173.5</v>
      </c>
      <c r="J19" s="54">
        <v>171.2</v>
      </c>
      <c r="K19" s="52">
        <v>171.2</v>
      </c>
      <c r="L19" s="52">
        <v>174.9</v>
      </c>
      <c r="M19" s="55">
        <v>172.6</v>
      </c>
    </row>
    <row r="20" spans="1:13" ht="15" thickBot="1" x14ac:dyDescent="0.4">
      <c r="A20" s="391"/>
      <c r="B20" s="51" t="s">
        <v>23</v>
      </c>
      <c r="C20" s="52">
        <v>108</v>
      </c>
      <c r="D20" s="52">
        <v>109.2</v>
      </c>
      <c r="E20" s="52">
        <v>105.2</v>
      </c>
      <c r="F20" s="60">
        <v>99.7</v>
      </c>
      <c r="G20" s="60">
        <v>95.9</v>
      </c>
      <c r="H20" s="52">
        <v>95.8</v>
      </c>
      <c r="I20" s="52">
        <v>94</v>
      </c>
      <c r="J20" s="54">
        <v>91.4</v>
      </c>
      <c r="K20" s="52">
        <v>91.5</v>
      </c>
      <c r="L20" s="52">
        <v>94.9</v>
      </c>
      <c r="M20" s="55">
        <v>92.2</v>
      </c>
    </row>
    <row r="21" spans="1:13" ht="15" thickBot="1" x14ac:dyDescent="0.4">
      <c r="A21" s="374">
        <v>8</v>
      </c>
      <c r="B21" s="51" t="s">
        <v>24</v>
      </c>
      <c r="C21" s="360"/>
      <c r="D21" s="361"/>
      <c r="E21" s="361"/>
      <c r="F21" s="361"/>
      <c r="G21" s="361"/>
      <c r="H21" s="361"/>
      <c r="I21" s="361"/>
      <c r="J21" s="361"/>
      <c r="K21" s="361"/>
      <c r="L21" s="361"/>
      <c r="M21" s="362"/>
    </row>
    <row r="22" spans="1:13" ht="15" thickBot="1" x14ac:dyDescent="0.4">
      <c r="A22" s="375"/>
      <c r="B22" s="51" t="s">
        <v>25</v>
      </c>
      <c r="C22" s="52">
        <v>61.36</v>
      </c>
      <c r="D22" s="52">
        <v>62.92</v>
      </c>
      <c r="E22" s="52">
        <v>63.95</v>
      </c>
      <c r="F22" s="53">
        <v>65.150000000000006</v>
      </c>
      <c r="G22" s="53">
        <v>64.47</v>
      </c>
      <c r="H22" s="52">
        <v>64.41</v>
      </c>
      <c r="I22" s="52">
        <v>62.64</v>
      </c>
      <c r="J22" s="54">
        <v>60.26</v>
      </c>
      <c r="K22" s="52">
        <v>60.26</v>
      </c>
      <c r="L22" s="52">
        <v>62.64</v>
      </c>
      <c r="M22" s="55">
        <v>60.26</v>
      </c>
    </row>
    <row r="23" spans="1:13" ht="15" thickBot="1" x14ac:dyDescent="0.4">
      <c r="A23" s="375"/>
      <c r="B23" s="51" t="s">
        <v>26</v>
      </c>
      <c r="C23" s="52">
        <v>8.01</v>
      </c>
      <c r="D23" s="52">
        <v>8.2270000000000003</v>
      </c>
      <c r="E23" s="52">
        <v>8.3719999999999999</v>
      </c>
      <c r="F23" s="53">
        <v>8.5370000000000008</v>
      </c>
      <c r="G23" s="53">
        <v>8.4640000000000004</v>
      </c>
      <c r="H23" s="52">
        <v>8.4570000000000007</v>
      </c>
      <c r="I23" s="52">
        <v>8.2729999999999997</v>
      </c>
      <c r="J23" s="54">
        <v>8.0440000000000005</v>
      </c>
      <c r="K23" s="52">
        <v>8.0440000000000005</v>
      </c>
      <c r="L23" s="52">
        <v>8.2729999999999997</v>
      </c>
      <c r="M23" s="55">
        <v>8.0440000000000005</v>
      </c>
    </row>
    <row r="24" spans="1:13" ht="15" thickBot="1" x14ac:dyDescent="0.4">
      <c r="A24" s="391"/>
      <c r="B24" s="51" t="s">
        <v>27</v>
      </c>
      <c r="C24" s="52">
        <v>497.4</v>
      </c>
      <c r="D24" s="52">
        <v>499.1</v>
      </c>
      <c r="E24" s="52">
        <v>501.2</v>
      </c>
      <c r="F24" s="53">
        <v>503.1</v>
      </c>
      <c r="G24" s="53">
        <v>505.2</v>
      </c>
      <c r="H24" s="52">
        <v>505.4</v>
      </c>
      <c r="I24" s="52">
        <v>512.29999999999995</v>
      </c>
      <c r="J24" s="54">
        <v>526.1</v>
      </c>
      <c r="K24" s="52">
        <v>526.1</v>
      </c>
      <c r="L24" s="52">
        <v>512.29999999999995</v>
      </c>
      <c r="M24" s="55">
        <v>526.1</v>
      </c>
    </row>
    <row r="25" spans="1:13" ht="15" thickBot="1" x14ac:dyDescent="0.4">
      <c r="A25" s="374">
        <v>9</v>
      </c>
      <c r="B25" s="51" t="s">
        <v>28</v>
      </c>
      <c r="C25" s="360"/>
      <c r="D25" s="361"/>
      <c r="E25" s="361"/>
      <c r="F25" s="361"/>
      <c r="G25" s="361"/>
      <c r="H25" s="361"/>
      <c r="I25" s="361"/>
      <c r="J25" s="361"/>
      <c r="K25" s="361"/>
      <c r="L25" s="361"/>
      <c r="M25" s="362"/>
    </row>
    <row r="26" spans="1:13" ht="15" thickBot="1" x14ac:dyDescent="0.4">
      <c r="A26" s="375"/>
      <c r="B26" s="51" t="s">
        <v>25</v>
      </c>
      <c r="C26" s="52">
        <v>15.47</v>
      </c>
      <c r="D26" s="52">
        <v>15.6</v>
      </c>
      <c r="E26" s="52">
        <v>15.83</v>
      </c>
      <c r="F26" s="53">
        <v>16.100000000000001</v>
      </c>
      <c r="G26" s="53">
        <v>15.85</v>
      </c>
      <c r="H26" s="52">
        <v>15.82</v>
      </c>
      <c r="I26" s="52">
        <v>14.69</v>
      </c>
      <c r="J26" s="54">
        <v>12.88</v>
      </c>
      <c r="K26" s="52">
        <v>12.88</v>
      </c>
      <c r="L26" s="52">
        <v>14.4</v>
      </c>
      <c r="M26" s="55">
        <v>12.61</v>
      </c>
    </row>
    <row r="27" spans="1:13" ht="15" thickBot="1" x14ac:dyDescent="0.4">
      <c r="A27" s="375"/>
      <c r="B27" s="51" t="s">
        <v>26</v>
      </c>
      <c r="C27" s="52">
        <v>0.68100000000000005</v>
      </c>
      <c r="D27" s="52">
        <v>0.69599999999999995</v>
      </c>
      <c r="E27" s="52">
        <v>0.69299999999999995</v>
      </c>
      <c r="F27" s="53">
        <v>0.68500000000000005</v>
      </c>
      <c r="G27" s="53">
        <v>0.66800000000000004</v>
      </c>
      <c r="H27" s="52">
        <v>0.66700000000000004</v>
      </c>
      <c r="I27" s="52">
        <v>0.63600000000000001</v>
      </c>
      <c r="J27" s="54">
        <v>0.6</v>
      </c>
      <c r="K27" s="52">
        <v>0.6</v>
      </c>
      <c r="L27" s="52">
        <v>0.66400000000000003</v>
      </c>
      <c r="M27" s="55">
        <v>0.627</v>
      </c>
    </row>
    <row r="28" spans="1:13" ht="15" thickBot="1" x14ac:dyDescent="0.4">
      <c r="A28" s="376"/>
      <c r="B28" s="62" t="s">
        <v>27</v>
      </c>
      <c r="C28" s="63">
        <v>212.1</v>
      </c>
      <c r="D28" s="63">
        <v>212.2</v>
      </c>
      <c r="E28" s="63">
        <v>212.2</v>
      </c>
      <c r="F28" s="64">
        <v>212.1</v>
      </c>
      <c r="G28" s="64">
        <v>211.8</v>
      </c>
      <c r="H28" s="63">
        <v>211.7</v>
      </c>
      <c r="I28" s="63">
        <v>209.5</v>
      </c>
      <c r="J28" s="65">
        <v>207.3</v>
      </c>
      <c r="K28" s="63">
        <v>207.3</v>
      </c>
      <c r="L28" s="63">
        <v>210.2</v>
      </c>
      <c r="M28" s="44">
        <v>208.1</v>
      </c>
    </row>
    <row r="29" spans="1:13" ht="15.5" customHeight="1" thickTop="1" thickBot="1" x14ac:dyDescent="0.4">
      <c r="A29" s="356" t="s">
        <v>29</v>
      </c>
      <c r="B29" s="357"/>
      <c r="C29" s="357"/>
      <c r="D29" s="357"/>
      <c r="E29" s="357"/>
      <c r="F29" s="357"/>
      <c r="G29" s="357"/>
      <c r="H29" s="357"/>
      <c r="I29" s="357"/>
      <c r="J29" s="357"/>
      <c r="K29" s="357"/>
      <c r="L29" s="357"/>
      <c r="M29" s="377"/>
    </row>
    <row r="30" spans="1:13" ht="15.5" thickTop="1" thickBot="1" x14ac:dyDescent="0.4">
      <c r="A30" s="378">
        <v>10</v>
      </c>
      <c r="B30" s="66" t="s">
        <v>30</v>
      </c>
      <c r="C30" s="379"/>
      <c r="D30" s="380"/>
      <c r="E30" s="380"/>
      <c r="F30" s="380"/>
      <c r="G30" s="380"/>
      <c r="H30" s="380"/>
      <c r="I30" s="380"/>
      <c r="J30" s="380"/>
      <c r="K30" s="380"/>
      <c r="L30" s="380"/>
      <c r="M30" s="381"/>
    </row>
    <row r="31" spans="1:13" ht="15" thickBot="1" x14ac:dyDescent="0.4">
      <c r="A31" s="358"/>
      <c r="B31" s="66" t="s">
        <v>31</v>
      </c>
      <c r="C31" s="67">
        <v>61.36</v>
      </c>
      <c r="D31" s="68">
        <v>62.92</v>
      </c>
      <c r="E31" s="68">
        <v>63.95</v>
      </c>
      <c r="F31" s="68">
        <v>65.150000000000006</v>
      </c>
      <c r="G31" s="68">
        <v>64.47</v>
      </c>
      <c r="H31" s="67">
        <v>64.41</v>
      </c>
      <c r="I31" s="68">
        <v>62.64</v>
      </c>
      <c r="J31" s="69">
        <v>60.26</v>
      </c>
      <c r="K31" s="68">
        <v>60.26</v>
      </c>
      <c r="L31" s="67">
        <v>62.64</v>
      </c>
      <c r="M31" s="70">
        <v>60.26</v>
      </c>
    </row>
    <row r="32" spans="1:13" ht="15" thickBot="1" x14ac:dyDescent="0.4">
      <c r="A32" s="358"/>
      <c r="B32" s="66" t="s">
        <v>26</v>
      </c>
      <c r="C32" s="67">
        <v>7.4790000000000001</v>
      </c>
      <c r="D32" s="68">
        <v>7.6760000000000002</v>
      </c>
      <c r="E32" s="68">
        <v>7.8109999999999999</v>
      </c>
      <c r="F32" s="68">
        <v>7.9610000000000003</v>
      </c>
      <c r="G32" s="68">
        <v>7.8959999999999999</v>
      </c>
      <c r="H32" s="67">
        <v>7.89</v>
      </c>
      <c r="I32" s="68">
        <v>7.7240000000000002</v>
      </c>
      <c r="J32" s="69">
        <v>7.5170000000000003</v>
      </c>
      <c r="K32" s="68">
        <v>7.5170000000000003</v>
      </c>
      <c r="L32" s="67">
        <v>7.7240000000000002</v>
      </c>
      <c r="M32" s="70">
        <v>7.5170000000000003</v>
      </c>
    </row>
    <row r="33" spans="1:13" ht="15" thickBot="1" x14ac:dyDescent="0.4">
      <c r="A33" s="353"/>
      <c r="B33" s="66" t="s">
        <v>32</v>
      </c>
      <c r="C33" s="67">
        <v>494.5</v>
      </c>
      <c r="D33" s="68">
        <v>496.1</v>
      </c>
      <c r="E33" s="68">
        <v>498.2</v>
      </c>
      <c r="F33" s="68">
        <v>500</v>
      </c>
      <c r="G33" s="68">
        <v>502.2</v>
      </c>
      <c r="H33" s="67">
        <v>502.4</v>
      </c>
      <c r="I33" s="68">
        <v>509.4</v>
      </c>
      <c r="J33" s="69">
        <v>523.4</v>
      </c>
      <c r="K33" s="68">
        <v>523.4</v>
      </c>
      <c r="L33" s="67">
        <v>509.4</v>
      </c>
      <c r="M33" s="70">
        <v>523.4</v>
      </c>
    </row>
    <row r="34" spans="1:13" ht="15" thickBot="1" x14ac:dyDescent="0.4">
      <c r="A34" s="352">
        <v>11</v>
      </c>
      <c r="B34" s="66" t="s">
        <v>33</v>
      </c>
      <c r="C34" s="360"/>
      <c r="D34" s="361"/>
      <c r="E34" s="361"/>
      <c r="F34" s="361"/>
      <c r="G34" s="361"/>
      <c r="H34" s="361"/>
      <c r="I34" s="361"/>
      <c r="J34" s="372"/>
      <c r="K34" s="373"/>
      <c r="L34" s="361"/>
      <c r="M34" s="362"/>
    </row>
    <row r="35" spans="1:13" ht="15" thickBot="1" x14ac:dyDescent="0.4">
      <c r="A35" s="358"/>
      <c r="B35" s="66" t="s">
        <v>31</v>
      </c>
      <c r="C35" s="67">
        <v>15.47</v>
      </c>
      <c r="D35" s="68">
        <v>15.6</v>
      </c>
      <c r="E35" s="68">
        <v>15.83</v>
      </c>
      <c r="F35" s="68">
        <v>16.100000000000001</v>
      </c>
      <c r="G35" s="68">
        <v>15.85</v>
      </c>
      <c r="H35" s="67">
        <v>15.82</v>
      </c>
      <c r="I35" s="68">
        <v>14.69</v>
      </c>
      <c r="J35" s="69">
        <v>12.88</v>
      </c>
      <c r="K35" s="68">
        <v>12.88</v>
      </c>
      <c r="L35" s="67">
        <v>14.4</v>
      </c>
      <c r="M35" s="70">
        <v>12.61</v>
      </c>
    </row>
    <row r="36" spans="1:13" ht="15" thickBot="1" x14ac:dyDescent="0.4">
      <c r="A36" s="358"/>
      <c r="B36" s="66" t="s">
        <v>26</v>
      </c>
      <c r="C36" s="67">
        <v>0.58799999999999997</v>
      </c>
      <c r="D36" s="68">
        <v>0.60099999999999998</v>
      </c>
      <c r="E36" s="68">
        <v>0.59499999999999997</v>
      </c>
      <c r="F36" s="68">
        <v>0.58499999999999996</v>
      </c>
      <c r="G36" s="68">
        <v>0.56899999999999995</v>
      </c>
      <c r="H36" s="67">
        <v>0.56799999999999995</v>
      </c>
      <c r="I36" s="68">
        <v>0.54600000000000004</v>
      </c>
      <c r="J36" s="69">
        <v>0.52200000000000002</v>
      </c>
      <c r="K36" s="68">
        <v>0.52200000000000002</v>
      </c>
      <c r="L36" s="67">
        <v>0.58099999999999996</v>
      </c>
      <c r="M36" s="70">
        <v>0.55600000000000005</v>
      </c>
    </row>
    <row r="37" spans="1:13" ht="15" thickBot="1" x14ac:dyDescent="0.4">
      <c r="A37" s="353"/>
      <c r="B37" s="66" t="s">
        <v>27</v>
      </c>
      <c r="C37" s="67">
        <v>210</v>
      </c>
      <c r="D37" s="68">
        <v>210</v>
      </c>
      <c r="E37" s="68">
        <v>210</v>
      </c>
      <c r="F37" s="68">
        <v>209.8</v>
      </c>
      <c r="G37" s="68">
        <v>209.6</v>
      </c>
      <c r="H37" s="67">
        <v>209.5</v>
      </c>
      <c r="I37" s="68">
        <v>207.4</v>
      </c>
      <c r="J37" s="69">
        <v>205.5</v>
      </c>
      <c r="K37" s="68">
        <v>205.8</v>
      </c>
      <c r="L37" s="67">
        <v>208.3</v>
      </c>
      <c r="M37" s="70">
        <v>206.4</v>
      </c>
    </row>
    <row r="38" spans="1:13" ht="15" thickBot="1" x14ac:dyDescent="0.4">
      <c r="A38" s="352">
        <v>12</v>
      </c>
      <c r="B38" s="66" t="s">
        <v>34</v>
      </c>
      <c r="C38" s="360"/>
      <c r="D38" s="361"/>
      <c r="E38" s="361"/>
      <c r="F38" s="361"/>
      <c r="G38" s="361"/>
      <c r="H38" s="361"/>
      <c r="I38" s="361"/>
      <c r="J38" s="372"/>
      <c r="K38" s="373"/>
      <c r="L38" s="361"/>
      <c r="M38" s="362"/>
    </row>
    <row r="39" spans="1:13" ht="15" thickBot="1" x14ac:dyDescent="0.4">
      <c r="A39" s="358"/>
      <c r="B39" s="66" t="s">
        <v>31</v>
      </c>
      <c r="C39" s="67">
        <v>76.53</v>
      </c>
      <c r="D39" s="68">
        <v>78.22</v>
      </c>
      <c r="E39" s="68">
        <v>79.489999999999995</v>
      </c>
      <c r="F39" s="68">
        <v>80.95</v>
      </c>
      <c r="G39" s="68">
        <v>80.02</v>
      </c>
      <c r="H39" s="67">
        <v>79.930000000000007</v>
      </c>
      <c r="I39" s="68">
        <v>77.040000000000006</v>
      </c>
      <c r="J39" s="69">
        <v>72.87</v>
      </c>
      <c r="K39" s="68">
        <v>72.88</v>
      </c>
      <c r="L39" s="67">
        <v>76.739999999999995</v>
      </c>
      <c r="M39" s="70">
        <v>72.59</v>
      </c>
    </row>
    <row r="40" spans="1:13" ht="15" thickBot="1" x14ac:dyDescent="0.4">
      <c r="A40" s="358"/>
      <c r="B40" s="66" t="s">
        <v>26</v>
      </c>
      <c r="C40" s="67">
        <v>0.52600000000000002</v>
      </c>
      <c r="D40" s="68">
        <v>0.53900000000000003</v>
      </c>
      <c r="E40" s="68">
        <v>0.53300000000000003</v>
      </c>
      <c r="F40" s="68">
        <v>0.52300000000000002</v>
      </c>
      <c r="G40" s="68">
        <v>0.50700000000000001</v>
      </c>
      <c r="H40" s="67">
        <v>0.50600000000000001</v>
      </c>
      <c r="I40" s="68">
        <v>0.48399999999999999</v>
      </c>
      <c r="J40" s="69">
        <v>0.46</v>
      </c>
      <c r="K40" s="68">
        <v>0.46</v>
      </c>
      <c r="L40" s="67">
        <v>0.51900000000000002</v>
      </c>
      <c r="M40" s="70">
        <v>0.49399999999999999</v>
      </c>
    </row>
    <row r="41" spans="1:13" ht="15" thickBot="1" x14ac:dyDescent="0.4">
      <c r="A41" s="353"/>
      <c r="B41" s="66" t="s">
        <v>35</v>
      </c>
      <c r="C41" s="67">
        <v>190.7</v>
      </c>
      <c r="D41" s="68">
        <v>191.3</v>
      </c>
      <c r="E41" s="68">
        <v>190.2</v>
      </c>
      <c r="F41" s="68">
        <v>188.4</v>
      </c>
      <c r="G41" s="68">
        <v>188</v>
      </c>
      <c r="H41" s="67">
        <v>188</v>
      </c>
      <c r="I41" s="68">
        <v>189.9</v>
      </c>
      <c r="J41" s="69">
        <v>195.68</v>
      </c>
      <c r="K41" s="68">
        <v>195.68</v>
      </c>
      <c r="L41" s="67">
        <v>194.9</v>
      </c>
      <c r="M41" s="70">
        <v>201</v>
      </c>
    </row>
    <row r="42" spans="1:13" ht="15" thickBot="1" x14ac:dyDescent="0.4">
      <c r="A42" s="352">
        <v>13</v>
      </c>
      <c r="B42" s="66" t="s">
        <v>36</v>
      </c>
      <c r="C42" s="360"/>
      <c r="D42" s="361"/>
      <c r="E42" s="361"/>
      <c r="F42" s="361"/>
      <c r="G42" s="361"/>
      <c r="H42" s="361"/>
      <c r="I42" s="361"/>
      <c r="J42" s="361"/>
      <c r="K42" s="361"/>
      <c r="L42" s="361"/>
      <c r="M42" s="362"/>
    </row>
    <row r="43" spans="1:13" ht="15" thickBot="1" x14ac:dyDescent="0.4">
      <c r="A43" s="358"/>
      <c r="B43" s="66" t="s">
        <v>31</v>
      </c>
      <c r="C43" s="67">
        <v>20.190000000000001</v>
      </c>
      <c r="D43" s="68">
        <v>20.440000000000001</v>
      </c>
      <c r="E43" s="68">
        <v>23.51</v>
      </c>
      <c r="F43" s="68">
        <v>30.26</v>
      </c>
      <c r="G43" s="68">
        <v>37.619999999999997</v>
      </c>
      <c r="H43" s="67">
        <v>38.22</v>
      </c>
      <c r="I43" s="68">
        <v>43</v>
      </c>
      <c r="J43" s="69">
        <v>41.91</v>
      </c>
      <c r="K43" s="68">
        <v>41.91</v>
      </c>
      <c r="L43" s="68">
        <v>0</v>
      </c>
      <c r="M43" s="70">
        <v>0</v>
      </c>
    </row>
    <row r="44" spans="1:13" ht="15" thickBot="1" x14ac:dyDescent="0.4">
      <c r="A44" s="358"/>
      <c r="B44" s="66" t="s">
        <v>26</v>
      </c>
      <c r="C44" s="67">
        <v>0.21629999999999999</v>
      </c>
      <c r="D44" s="68">
        <v>0.2225</v>
      </c>
      <c r="E44" s="68">
        <v>0.19389999999999999</v>
      </c>
      <c r="F44" s="68">
        <v>0.1497</v>
      </c>
      <c r="G44" s="68">
        <v>0.1123</v>
      </c>
      <c r="H44" s="67">
        <v>0.1096</v>
      </c>
      <c r="I44" s="68">
        <v>8.4599999999999995E-2</v>
      </c>
      <c r="J44" s="69">
        <v>7.6700000000000004E-2</v>
      </c>
      <c r="K44" s="68">
        <v>7.6700000000000004E-2</v>
      </c>
      <c r="L44" s="67">
        <v>0.2046</v>
      </c>
      <c r="M44" s="70">
        <v>0.19500000000000001</v>
      </c>
    </row>
    <row r="45" spans="1:13" ht="15" thickBot="1" x14ac:dyDescent="0.4">
      <c r="A45" s="353"/>
      <c r="B45" s="66" t="s">
        <v>27</v>
      </c>
      <c r="C45" s="67">
        <v>122.6</v>
      </c>
      <c r="D45" s="68">
        <v>123.6</v>
      </c>
      <c r="E45" s="68">
        <v>119.2</v>
      </c>
      <c r="F45" s="68">
        <v>111.3</v>
      </c>
      <c r="G45" s="68">
        <v>102.9</v>
      </c>
      <c r="H45" s="67">
        <v>102.2</v>
      </c>
      <c r="I45" s="68">
        <v>95</v>
      </c>
      <c r="J45" s="69">
        <v>92.4</v>
      </c>
      <c r="K45" s="68">
        <v>92.4</v>
      </c>
      <c r="L45" s="67">
        <v>120.9</v>
      </c>
      <c r="M45" s="70">
        <v>121.8</v>
      </c>
    </row>
    <row r="46" spans="1:13" ht="15" thickBot="1" x14ac:dyDescent="0.4">
      <c r="A46" s="352">
        <v>14</v>
      </c>
      <c r="B46" s="66" t="s">
        <v>37</v>
      </c>
      <c r="C46" s="360"/>
      <c r="D46" s="361"/>
      <c r="E46" s="361"/>
      <c r="F46" s="361"/>
      <c r="G46" s="361"/>
      <c r="H46" s="361"/>
      <c r="I46" s="361"/>
      <c r="J46" s="361"/>
      <c r="K46" s="372"/>
      <c r="L46" s="71"/>
      <c r="M46" s="72"/>
    </row>
    <row r="47" spans="1:13" ht="15" thickBot="1" x14ac:dyDescent="0.4">
      <c r="A47" s="358"/>
      <c r="B47" s="66" t="s">
        <v>31</v>
      </c>
      <c r="C47" s="67">
        <v>51.91</v>
      </c>
      <c r="D47" s="68">
        <v>53.34</v>
      </c>
      <c r="E47" s="68">
        <v>51.53</v>
      </c>
      <c r="F47" s="68">
        <v>46.24</v>
      </c>
      <c r="G47" s="68">
        <v>37.96</v>
      </c>
      <c r="H47" s="67">
        <v>37.270000000000003</v>
      </c>
      <c r="I47" s="68">
        <v>29.59</v>
      </c>
      <c r="J47" s="69">
        <v>25.67</v>
      </c>
      <c r="K47" s="68">
        <v>26.51</v>
      </c>
      <c r="L47" s="67">
        <v>47.22</v>
      </c>
      <c r="M47" s="70">
        <v>46.75</v>
      </c>
    </row>
    <row r="48" spans="1:13" ht="15" thickBot="1" x14ac:dyDescent="0.4">
      <c r="A48" s="358"/>
      <c r="B48" s="66" t="s">
        <v>26</v>
      </c>
      <c r="C48" s="67">
        <v>0.1608</v>
      </c>
      <c r="D48" s="68">
        <v>0.16569999999999999</v>
      </c>
      <c r="E48" s="68">
        <v>0.13389999999999999</v>
      </c>
      <c r="F48" s="68">
        <v>8.6199999999999999E-2</v>
      </c>
      <c r="G48" s="68">
        <v>5.1499999999999997E-2</v>
      </c>
      <c r="H48" s="67">
        <v>4.9099999999999998E-2</v>
      </c>
      <c r="I48" s="68">
        <v>3.1199999999999999E-2</v>
      </c>
      <c r="J48" s="69">
        <v>2.7900000000000001E-2</v>
      </c>
      <c r="K48" s="68">
        <v>2.7900000000000001E-2</v>
      </c>
      <c r="L48" s="67">
        <v>5.0799999999999998E-2</v>
      </c>
      <c r="M48" s="70">
        <v>5.0900000000000001E-2</v>
      </c>
    </row>
    <row r="49" spans="1:13" ht="15" thickBot="1" x14ac:dyDescent="0.4">
      <c r="A49" s="353"/>
      <c r="B49" s="66" t="s">
        <v>27</v>
      </c>
      <c r="C49" s="67">
        <v>113.4</v>
      </c>
      <c r="D49" s="68">
        <v>114.4</v>
      </c>
      <c r="E49" s="68">
        <v>108</v>
      </c>
      <c r="F49" s="68">
        <v>95.5</v>
      </c>
      <c r="G49" s="68">
        <v>82</v>
      </c>
      <c r="H49" s="67">
        <v>80.900000000000006</v>
      </c>
      <c r="I49" s="68">
        <v>69.900000000000006</v>
      </c>
      <c r="J49" s="69">
        <v>67.37</v>
      </c>
      <c r="K49" s="68">
        <v>67.37</v>
      </c>
      <c r="L49" s="67">
        <v>81.72</v>
      </c>
      <c r="M49" s="70">
        <v>81.73</v>
      </c>
    </row>
    <row r="50" spans="1:13" ht="15" thickBot="1" x14ac:dyDescent="0.4">
      <c r="A50" s="352">
        <v>15</v>
      </c>
      <c r="B50" s="66" t="s">
        <v>38</v>
      </c>
      <c r="C50" s="360"/>
      <c r="D50" s="361"/>
      <c r="E50" s="361"/>
      <c r="F50" s="361"/>
      <c r="G50" s="361"/>
      <c r="H50" s="361"/>
      <c r="I50" s="361"/>
      <c r="J50" s="361"/>
      <c r="K50" s="361"/>
      <c r="L50" s="361"/>
      <c r="M50" s="362"/>
    </row>
    <row r="51" spans="1:13" ht="15" thickBot="1" x14ac:dyDescent="0.4">
      <c r="A51" s="358"/>
      <c r="B51" s="66" t="s">
        <v>31</v>
      </c>
      <c r="C51" s="67">
        <v>4.4400000000000004</v>
      </c>
      <c r="D51" s="68">
        <v>4.4400000000000004</v>
      </c>
      <c r="E51" s="68">
        <v>4.4400000000000004</v>
      </c>
      <c r="F51" s="68">
        <v>4.4400000000000004</v>
      </c>
      <c r="G51" s="68">
        <v>4.4400000000000004</v>
      </c>
      <c r="H51" s="67">
        <v>4.4400000000000004</v>
      </c>
      <c r="I51" s="68">
        <v>4.4400000000000004</v>
      </c>
      <c r="J51" s="69">
        <v>4.4400000000000004</v>
      </c>
      <c r="K51" s="68">
        <v>4.4400000000000004</v>
      </c>
      <c r="L51" s="67">
        <v>29.53</v>
      </c>
      <c r="M51" s="70">
        <v>25.8</v>
      </c>
    </row>
    <row r="52" spans="1:13" ht="15" thickBot="1" x14ac:dyDescent="0.4">
      <c r="A52" s="358"/>
      <c r="B52" s="66" t="s">
        <v>27</v>
      </c>
      <c r="C52" s="67">
        <v>89.57</v>
      </c>
      <c r="D52" s="68">
        <v>90.17</v>
      </c>
      <c r="E52" s="68">
        <v>74.319999999999993</v>
      </c>
      <c r="F52" s="68">
        <v>42.9</v>
      </c>
      <c r="G52" s="68">
        <v>42.72</v>
      </c>
      <c r="H52" s="67">
        <v>42.7</v>
      </c>
      <c r="I52" s="68">
        <v>42.72</v>
      </c>
      <c r="J52" s="69">
        <v>45.8</v>
      </c>
      <c r="K52" s="68">
        <v>48</v>
      </c>
      <c r="L52" s="67">
        <v>83.56</v>
      </c>
      <c r="M52" s="70">
        <v>80.58</v>
      </c>
    </row>
    <row r="53" spans="1:13" ht="15" thickBot="1" x14ac:dyDescent="0.4">
      <c r="A53" s="358"/>
      <c r="B53" s="66" t="s">
        <v>39</v>
      </c>
      <c r="C53" s="67">
        <v>103.6</v>
      </c>
      <c r="D53" s="68">
        <v>103.7</v>
      </c>
      <c r="E53" s="68">
        <v>102.42</v>
      </c>
      <c r="F53" s="68" t="s">
        <v>40</v>
      </c>
      <c r="G53" s="68" t="s">
        <v>41</v>
      </c>
      <c r="H53" s="67" t="s">
        <v>42</v>
      </c>
      <c r="I53" s="68" t="s">
        <v>43</v>
      </c>
      <c r="J53" s="69" t="s">
        <v>44</v>
      </c>
      <c r="K53" s="68" t="s">
        <v>45</v>
      </c>
      <c r="L53" s="67" t="s">
        <v>46</v>
      </c>
      <c r="M53" s="70" t="s">
        <v>47</v>
      </c>
    </row>
    <row r="54" spans="1:13" ht="15" thickBot="1" x14ac:dyDescent="0.4">
      <c r="A54" s="358"/>
      <c r="B54" s="66" t="s">
        <v>48</v>
      </c>
      <c r="C54" s="67">
        <v>833.3</v>
      </c>
      <c r="D54" s="68">
        <v>833.3</v>
      </c>
      <c r="E54" s="68">
        <v>833.3</v>
      </c>
      <c r="F54" s="68">
        <v>833.3</v>
      </c>
      <c r="G54" s="68">
        <v>833.3</v>
      </c>
      <c r="H54" s="67">
        <v>833.3</v>
      </c>
      <c r="I54" s="68">
        <v>833.3</v>
      </c>
      <c r="J54" s="69">
        <v>833.3</v>
      </c>
      <c r="K54" s="68">
        <v>833.3</v>
      </c>
      <c r="L54" s="67">
        <v>833.3</v>
      </c>
      <c r="M54" s="70">
        <v>833.3</v>
      </c>
    </row>
    <row r="55" spans="1:13" ht="15" thickBot="1" x14ac:dyDescent="0.4">
      <c r="A55" s="358"/>
      <c r="B55" s="73" t="s">
        <v>49</v>
      </c>
      <c r="C55" s="67">
        <v>112.8</v>
      </c>
      <c r="D55" s="68">
        <v>113.4</v>
      </c>
      <c r="E55" s="68">
        <v>113.3</v>
      </c>
      <c r="F55" s="68">
        <v>113</v>
      </c>
      <c r="G55" s="68">
        <v>115.4</v>
      </c>
      <c r="H55" s="67">
        <v>115.4</v>
      </c>
      <c r="I55" s="68">
        <v>117.3</v>
      </c>
      <c r="J55" s="69">
        <v>117.6</v>
      </c>
      <c r="K55" s="68">
        <v>423.4</v>
      </c>
      <c r="L55" s="67">
        <v>117.7</v>
      </c>
      <c r="M55" s="70">
        <v>117.5</v>
      </c>
    </row>
    <row r="56" spans="1:13" ht="15" thickBot="1" x14ac:dyDescent="0.4">
      <c r="A56" s="358"/>
      <c r="B56" s="74" t="s">
        <v>50</v>
      </c>
      <c r="C56" s="67">
        <v>50</v>
      </c>
      <c r="D56" s="68">
        <v>45.8</v>
      </c>
      <c r="E56" s="68">
        <v>52.5</v>
      </c>
      <c r="F56" s="68">
        <v>48.3</v>
      </c>
      <c r="G56" s="68">
        <v>31.7</v>
      </c>
      <c r="H56" s="67">
        <v>31.7</v>
      </c>
      <c r="I56" s="68">
        <v>19.2</v>
      </c>
      <c r="J56" s="69">
        <v>16.7</v>
      </c>
      <c r="K56" s="68">
        <v>60</v>
      </c>
      <c r="L56" s="67">
        <v>15.8</v>
      </c>
      <c r="M56" s="70">
        <v>17.5</v>
      </c>
    </row>
    <row r="57" spans="1:13" ht="15" thickBot="1" x14ac:dyDescent="0.4">
      <c r="A57" s="358"/>
      <c r="B57" s="66" t="s">
        <v>51</v>
      </c>
      <c r="C57" s="67">
        <v>120.5</v>
      </c>
      <c r="D57" s="68">
        <v>121.5</v>
      </c>
      <c r="E57" s="68">
        <v>116.5</v>
      </c>
      <c r="F57" s="68">
        <v>107.5</v>
      </c>
      <c r="G57" s="68">
        <v>99.4</v>
      </c>
      <c r="H57" s="67">
        <v>98.6</v>
      </c>
      <c r="I57" s="68">
        <v>90.9</v>
      </c>
      <c r="J57" s="69">
        <v>88</v>
      </c>
      <c r="K57" s="68">
        <v>88</v>
      </c>
      <c r="L57" s="67">
        <v>73.400000000000006</v>
      </c>
      <c r="M57" s="70">
        <v>73.400000000000006</v>
      </c>
    </row>
    <row r="58" spans="1:13" ht="15" thickBot="1" x14ac:dyDescent="0.4">
      <c r="A58" s="359"/>
      <c r="B58" s="75" t="s">
        <v>52</v>
      </c>
      <c r="C58" s="76">
        <v>69</v>
      </c>
      <c r="D58" s="77">
        <v>69</v>
      </c>
      <c r="E58" s="77">
        <v>63</v>
      </c>
      <c r="F58" s="77">
        <v>53.1</v>
      </c>
      <c r="G58" s="77">
        <v>46</v>
      </c>
      <c r="H58" s="76">
        <v>45.4</v>
      </c>
      <c r="I58" s="77">
        <v>40</v>
      </c>
      <c r="J58" s="78">
        <v>40</v>
      </c>
      <c r="K58" s="77">
        <v>40</v>
      </c>
      <c r="L58" s="76">
        <v>40</v>
      </c>
      <c r="M58" s="79">
        <v>40</v>
      </c>
    </row>
    <row r="59" spans="1:13" ht="16" thickTop="1" thickBot="1" x14ac:dyDescent="0.4">
      <c r="A59" s="363">
        <v>16</v>
      </c>
      <c r="B59" s="80" t="s">
        <v>53</v>
      </c>
      <c r="C59" s="366"/>
      <c r="D59" s="367"/>
      <c r="E59" s="367"/>
      <c r="F59" s="367"/>
      <c r="G59" s="367"/>
      <c r="H59" s="367"/>
      <c r="I59" s="367"/>
      <c r="J59" s="367"/>
      <c r="K59" s="367"/>
      <c r="L59" s="367"/>
      <c r="M59" s="368"/>
    </row>
    <row r="60" spans="1:13" ht="15.5" thickBot="1" x14ac:dyDescent="0.4">
      <c r="A60" s="364"/>
      <c r="B60" s="81" t="s">
        <v>31</v>
      </c>
      <c r="C60" s="82">
        <v>4.4400000000000004</v>
      </c>
      <c r="D60" s="83">
        <v>4.4400000000000004</v>
      </c>
      <c r="E60" s="83">
        <v>4.4400000000000004</v>
      </c>
      <c r="F60" s="82">
        <v>4.4400000000000004</v>
      </c>
      <c r="G60" s="82">
        <v>4.4400000000000004</v>
      </c>
      <c r="H60" s="84">
        <v>4.4400000000000004</v>
      </c>
      <c r="I60" s="82">
        <v>4.4400000000000004</v>
      </c>
      <c r="J60" s="85">
        <v>4.4400000000000004</v>
      </c>
      <c r="K60" s="86">
        <v>4.4400000000000004</v>
      </c>
      <c r="L60" s="86">
        <v>29.53</v>
      </c>
      <c r="M60" s="87">
        <v>25.8</v>
      </c>
    </row>
    <row r="61" spans="1:13" ht="15.5" thickBot="1" x14ac:dyDescent="0.4">
      <c r="A61" s="364"/>
      <c r="B61" s="81" t="s">
        <v>26</v>
      </c>
      <c r="C61" s="82">
        <v>3.3999999999999998E-3</v>
      </c>
      <c r="D61" s="83">
        <v>3.3999999999999998E-3</v>
      </c>
      <c r="E61" s="83">
        <v>3.3999999999999998E-3</v>
      </c>
      <c r="F61" s="86">
        <v>3.3999999999999998E-3</v>
      </c>
      <c r="G61" s="82">
        <v>3.3999999999999998E-3</v>
      </c>
      <c r="H61" s="82">
        <v>3.3999999999999998E-3</v>
      </c>
      <c r="I61" s="82">
        <v>3.5999999999999999E-3</v>
      </c>
      <c r="J61" s="85">
        <v>6.3E-3</v>
      </c>
      <c r="K61" s="86">
        <v>8.2000000000000007E-3</v>
      </c>
      <c r="L61" s="86">
        <v>6.1000000000000004E-3</v>
      </c>
      <c r="M61" s="87">
        <v>9.7000000000000003E-3</v>
      </c>
    </row>
    <row r="62" spans="1:13" ht="15.5" thickBot="1" x14ac:dyDescent="0.4">
      <c r="A62" s="365"/>
      <c r="B62" s="88" t="s">
        <v>39</v>
      </c>
      <c r="C62" s="89">
        <v>100.3</v>
      </c>
      <c r="D62" s="90">
        <v>100.3</v>
      </c>
      <c r="E62" s="90" t="s">
        <v>54</v>
      </c>
      <c r="F62" s="91" t="s">
        <v>55</v>
      </c>
      <c r="G62" s="89" t="s">
        <v>56</v>
      </c>
      <c r="H62" s="92" t="s">
        <v>57</v>
      </c>
      <c r="I62" s="89" t="s">
        <v>58</v>
      </c>
      <c r="J62" s="93" t="s">
        <v>59</v>
      </c>
      <c r="K62" s="91" t="s">
        <v>60</v>
      </c>
      <c r="L62" s="91" t="s">
        <v>61</v>
      </c>
      <c r="M62" s="94" t="s">
        <v>62</v>
      </c>
    </row>
    <row r="63" spans="1:13" ht="15.5" customHeight="1" thickTop="1" thickBot="1" x14ac:dyDescent="0.4">
      <c r="A63" s="369" t="s">
        <v>63</v>
      </c>
      <c r="B63" s="370"/>
      <c r="C63" s="370"/>
      <c r="D63" s="370"/>
      <c r="E63" s="370"/>
      <c r="F63" s="370"/>
      <c r="G63" s="370"/>
      <c r="H63" s="370"/>
      <c r="I63" s="370"/>
      <c r="J63" s="370"/>
      <c r="K63" s="370"/>
      <c r="L63" s="370"/>
      <c r="M63" s="371"/>
    </row>
    <row r="64" spans="1:13" ht="16" thickTop="1" thickBot="1" x14ac:dyDescent="0.4">
      <c r="A64" s="95">
        <v>17</v>
      </c>
      <c r="B64" s="81" t="s">
        <v>26</v>
      </c>
      <c r="C64" s="82">
        <v>3.3999999999999998E-3</v>
      </c>
      <c r="D64" s="83">
        <v>3.3999999999999998E-3</v>
      </c>
      <c r="E64" s="83">
        <v>3.3999999999999998E-3</v>
      </c>
      <c r="F64" s="86">
        <v>3.3999999999999998E-3</v>
      </c>
      <c r="G64" s="82">
        <v>3.3999999999999998E-3</v>
      </c>
      <c r="H64" s="82">
        <v>3.3999999999999998E-3</v>
      </c>
      <c r="I64" s="82">
        <v>3.5999999999999999E-3</v>
      </c>
      <c r="J64" s="85">
        <v>6.3E-3</v>
      </c>
      <c r="K64" s="86">
        <v>8.2000000000000007E-3</v>
      </c>
      <c r="L64" s="86">
        <v>6.1000000000000004E-3</v>
      </c>
      <c r="M64" s="87">
        <v>9.7000000000000003E-3</v>
      </c>
    </row>
    <row r="65" spans="1:13" ht="15.5" thickBot="1" x14ac:dyDescent="0.4">
      <c r="A65" s="95">
        <v>18</v>
      </c>
      <c r="B65" s="81" t="s">
        <v>64</v>
      </c>
      <c r="C65" s="82">
        <v>21.2</v>
      </c>
      <c r="D65" s="83">
        <v>21.2</v>
      </c>
      <c r="E65" s="83">
        <v>21.2</v>
      </c>
      <c r="F65" s="86">
        <v>21.15</v>
      </c>
      <c r="G65" s="82">
        <v>21.15</v>
      </c>
      <c r="H65" s="84">
        <v>21.15</v>
      </c>
      <c r="I65" s="82">
        <v>27.1</v>
      </c>
      <c r="J65" s="85">
        <v>37.1</v>
      </c>
      <c r="K65" s="86">
        <v>42.1</v>
      </c>
      <c r="L65" s="86">
        <v>36.299999999999997</v>
      </c>
      <c r="M65" s="87">
        <v>45.2</v>
      </c>
    </row>
    <row r="66" spans="1:13" ht="15.5" thickBot="1" x14ac:dyDescent="0.4">
      <c r="A66" s="95">
        <v>19</v>
      </c>
      <c r="B66" s="81" t="s">
        <v>65</v>
      </c>
      <c r="C66" s="82">
        <v>3611</v>
      </c>
      <c r="D66" s="83">
        <v>3611</v>
      </c>
      <c r="E66" s="83">
        <v>3611</v>
      </c>
      <c r="F66" s="86">
        <v>3611</v>
      </c>
      <c r="G66" s="82">
        <v>3611</v>
      </c>
      <c r="H66" s="84">
        <v>3611</v>
      </c>
      <c r="I66" s="82">
        <v>3611</v>
      </c>
      <c r="J66" s="85">
        <v>3611</v>
      </c>
      <c r="K66" s="86">
        <v>3611</v>
      </c>
      <c r="L66" s="86">
        <v>3611</v>
      </c>
      <c r="M66" s="83">
        <v>3611</v>
      </c>
    </row>
    <row r="67" spans="1:13" ht="15.5" thickBot="1" x14ac:dyDescent="0.4">
      <c r="A67" s="95">
        <v>20</v>
      </c>
      <c r="B67" s="81" t="s">
        <v>66</v>
      </c>
      <c r="C67" s="83">
        <v>13</v>
      </c>
      <c r="D67" s="83">
        <v>16</v>
      </c>
      <c r="E67" s="83">
        <v>16</v>
      </c>
      <c r="F67" s="83">
        <v>18</v>
      </c>
      <c r="G67" s="83">
        <v>20</v>
      </c>
      <c r="H67" s="83">
        <v>20</v>
      </c>
      <c r="I67" s="83">
        <v>25</v>
      </c>
      <c r="J67" s="85">
        <v>35</v>
      </c>
      <c r="K67" s="83">
        <v>40</v>
      </c>
      <c r="L67" s="83">
        <v>25</v>
      </c>
      <c r="M67" s="87">
        <v>35</v>
      </c>
    </row>
    <row r="68" spans="1:13" ht="15.5" thickBot="1" x14ac:dyDescent="0.4">
      <c r="A68" s="95">
        <v>21</v>
      </c>
      <c r="B68" s="81" t="s">
        <v>67</v>
      </c>
      <c r="C68" s="82">
        <v>13.8</v>
      </c>
      <c r="D68" s="83">
        <v>16.8</v>
      </c>
      <c r="E68" s="83">
        <v>16.8</v>
      </c>
      <c r="F68" s="82">
        <v>18.8</v>
      </c>
      <c r="G68" s="82">
        <v>20.8</v>
      </c>
      <c r="H68" s="84">
        <v>20.8</v>
      </c>
      <c r="I68" s="82">
        <v>25.8</v>
      </c>
      <c r="J68" s="85">
        <v>35.799999999999997</v>
      </c>
      <c r="K68" s="86">
        <v>40.799999999999997</v>
      </c>
      <c r="L68" s="86">
        <v>29.3</v>
      </c>
      <c r="M68" s="87">
        <v>38.799999999999997</v>
      </c>
    </row>
    <row r="69" spans="1:13" ht="16" x14ac:dyDescent="0.35">
      <c r="A69" s="354">
        <v>22</v>
      </c>
      <c r="B69" s="96" t="s">
        <v>68</v>
      </c>
      <c r="C69" s="97"/>
      <c r="D69" s="97"/>
      <c r="E69" s="97"/>
      <c r="F69" s="97"/>
      <c r="G69" s="97"/>
      <c r="H69" s="97"/>
      <c r="I69" s="97"/>
      <c r="J69" s="98"/>
      <c r="K69" s="97"/>
      <c r="L69" s="97"/>
      <c r="M69" s="99"/>
    </row>
    <row r="70" spans="1:13" ht="15.5" thickBot="1" x14ac:dyDescent="0.4">
      <c r="A70" s="355"/>
      <c r="B70" s="81" t="s">
        <v>69</v>
      </c>
      <c r="C70" s="82">
        <v>35.4</v>
      </c>
      <c r="D70" s="83">
        <v>35.700000000000003</v>
      </c>
      <c r="E70" s="83">
        <v>35.799999999999997</v>
      </c>
      <c r="F70" s="82">
        <v>35.9</v>
      </c>
      <c r="G70" s="82">
        <v>35.6</v>
      </c>
      <c r="H70" s="84">
        <v>35.6</v>
      </c>
      <c r="I70" s="82">
        <v>41.1</v>
      </c>
      <c r="J70" s="85">
        <v>50.6</v>
      </c>
      <c r="K70" s="86">
        <v>55.8</v>
      </c>
      <c r="L70" s="86">
        <v>43.3</v>
      </c>
      <c r="M70" s="87">
        <v>52.8</v>
      </c>
    </row>
    <row r="71" spans="1:13" ht="15.5" thickBot="1" x14ac:dyDescent="0.4">
      <c r="A71" s="95">
        <v>23</v>
      </c>
      <c r="B71" s="81" t="s">
        <v>70</v>
      </c>
      <c r="C71" s="82">
        <v>82.1</v>
      </c>
      <c r="D71" s="83">
        <v>82.6</v>
      </c>
      <c r="E71" s="83">
        <v>77</v>
      </c>
      <c r="F71" s="82">
        <v>66.5</v>
      </c>
      <c r="G71" s="82">
        <v>57.1</v>
      </c>
      <c r="H71" s="84">
        <v>57.3</v>
      </c>
      <c r="I71" s="82">
        <v>50.1</v>
      </c>
      <c r="J71" s="85">
        <v>48.8</v>
      </c>
      <c r="K71" s="86">
        <v>48.8</v>
      </c>
      <c r="L71" s="86">
        <v>49.1</v>
      </c>
      <c r="M71" s="87">
        <v>49</v>
      </c>
    </row>
    <row r="72" spans="1:13" ht="16" x14ac:dyDescent="0.35">
      <c r="A72" s="354">
        <v>24</v>
      </c>
      <c r="B72" s="96" t="s">
        <v>71</v>
      </c>
      <c r="C72" s="97"/>
      <c r="D72" s="97"/>
      <c r="E72" s="97"/>
      <c r="F72" s="97"/>
      <c r="G72" s="97"/>
      <c r="H72" s="97"/>
      <c r="I72" s="97"/>
      <c r="J72" s="98"/>
      <c r="K72" s="97"/>
      <c r="L72" s="97"/>
      <c r="M72" s="99"/>
    </row>
    <row r="73" spans="1:13" ht="15.5" thickBot="1" x14ac:dyDescent="0.4">
      <c r="A73" s="355"/>
      <c r="B73" s="81" t="s">
        <v>72</v>
      </c>
      <c r="C73" s="82">
        <v>79</v>
      </c>
      <c r="D73" s="83">
        <v>79.599999999999994</v>
      </c>
      <c r="E73" s="83">
        <v>74.5</v>
      </c>
      <c r="F73" s="82">
        <v>64.7</v>
      </c>
      <c r="G73" s="82">
        <v>55.8</v>
      </c>
      <c r="H73" s="84">
        <v>55.9</v>
      </c>
      <c r="I73" s="82">
        <v>49.5</v>
      </c>
      <c r="J73" s="85">
        <v>48.9</v>
      </c>
      <c r="K73" s="86">
        <v>49.3</v>
      </c>
      <c r="L73" s="86">
        <v>46.8</v>
      </c>
      <c r="M73" s="87">
        <v>50.4</v>
      </c>
    </row>
    <row r="74" spans="1:13" ht="16" x14ac:dyDescent="0.35">
      <c r="A74" s="354">
        <v>25</v>
      </c>
      <c r="B74" s="96" t="s">
        <v>73</v>
      </c>
      <c r="C74" s="97"/>
      <c r="D74" s="97"/>
      <c r="E74" s="97"/>
      <c r="F74" s="97"/>
      <c r="G74" s="97"/>
      <c r="H74" s="97"/>
      <c r="I74" s="97"/>
      <c r="J74" s="98"/>
      <c r="K74" s="97"/>
      <c r="L74" s="97"/>
      <c r="M74" s="99"/>
    </row>
    <row r="75" spans="1:13" ht="15.5" thickBot="1" x14ac:dyDescent="0.4">
      <c r="A75" s="355"/>
      <c r="B75" s="81" t="s">
        <v>74</v>
      </c>
      <c r="C75" s="82">
        <v>77.14</v>
      </c>
      <c r="D75" s="83">
        <v>78.84</v>
      </c>
      <c r="E75" s="83">
        <v>80.11</v>
      </c>
      <c r="F75" s="86">
        <v>81.569999999999993</v>
      </c>
      <c r="G75" s="82">
        <v>80.64</v>
      </c>
      <c r="H75" s="84">
        <v>80.55</v>
      </c>
      <c r="I75" s="82">
        <v>77.650000000000006</v>
      </c>
      <c r="J75" s="85">
        <v>73.459999999999994</v>
      </c>
      <c r="K75" s="86">
        <v>73.47</v>
      </c>
      <c r="L75" s="86">
        <v>77.36</v>
      </c>
      <c r="M75" s="87">
        <v>73.19</v>
      </c>
    </row>
    <row r="76" spans="1:13" ht="16" x14ac:dyDescent="0.35">
      <c r="A76" s="354">
        <v>26</v>
      </c>
      <c r="B76" s="96" t="s">
        <v>75</v>
      </c>
      <c r="C76" s="97"/>
      <c r="D76" s="97"/>
      <c r="E76" s="97"/>
      <c r="F76" s="97"/>
      <c r="G76" s="97"/>
      <c r="H76" s="97"/>
      <c r="I76" s="97"/>
      <c r="J76" s="98"/>
      <c r="K76" s="97"/>
      <c r="L76" s="97"/>
      <c r="M76" s="99"/>
    </row>
    <row r="77" spans="1:13" ht="15.5" thickBot="1" x14ac:dyDescent="0.4">
      <c r="A77" s="355"/>
      <c r="B77" s="81" t="s">
        <v>76</v>
      </c>
      <c r="C77" s="82">
        <v>120.36</v>
      </c>
      <c r="D77" s="83">
        <v>121.59</v>
      </c>
      <c r="E77" s="83">
        <v>119.41</v>
      </c>
      <c r="F77" s="86">
        <v>115.64</v>
      </c>
      <c r="G77" s="82">
        <v>111.18</v>
      </c>
      <c r="H77" s="82">
        <v>111.08</v>
      </c>
      <c r="I77" s="82">
        <v>107.92</v>
      </c>
      <c r="J77" s="85">
        <v>101.6</v>
      </c>
      <c r="K77" s="86">
        <v>101.27</v>
      </c>
      <c r="L77" s="86">
        <v>106.46</v>
      </c>
      <c r="M77" s="87">
        <v>100.49</v>
      </c>
    </row>
    <row r="78" spans="1:13" ht="15.5" thickBot="1" x14ac:dyDescent="0.4">
      <c r="A78" s="95">
        <v>27</v>
      </c>
      <c r="B78" s="81" t="s">
        <v>77</v>
      </c>
      <c r="C78" s="82">
        <v>43.21</v>
      </c>
      <c r="D78" s="83">
        <v>42.75</v>
      </c>
      <c r="E78" s="83">
        <v>39.31</v>
      </c>
      <c r="F78" s="86">
        <v>34.07</v>
      </c>
      <c r="G78" s="82">
        <v>30.55</v>
      </c>
      <c r="H78" s="84">
        <v>30.53</v>
      </c>
      <c r="I78" s="82">
        <v>30.28</v>
      </c>
      <c r="J78" s="85">
        <v>28.14</v>
      </c>
      <c r="K78" s="86">
        <v>27.8</v>
      </c>
      <c r="L78" s="86">
        <v>29.11</v>
      </c>
      <c r="M78" s="87">
        <v>27.3</v>
      </c>
    </row>
    <row r="79" spans="1:13" ht="15.5" thickBot="1" x14ac:dyDescent="0.4">
      <c r="A79" s="95">
        <v>28</v>
      </c>
      <c r="B79" s="81" t="s">
        <v>78</v>
      </c>
      <c r="C79" s="84">
        <v>0</v>
      </c>
      <c r="D79" s="83">
        <v>0</v>
      </c>
      <c r="E79" s="83">
        <v>0</v>
      </c>
      <c r="F79" s="84">
        <v>0</v>
      </c>
      <c r="G79" s="84">
        <v>0</v>
      </c>
      <c r="H79" s="83">
        <v>0</v>
      </c>
      <c r="I79" s="84">
        <v>0</v>
      </c>
      <c r="J79" s="85">
        <v>0</v>
      </c>
      <c r="K79" s="83">
        <v>0</v>
      </c>
      <c r="L79" s="83">
        <v>0</v>
      </c>
      <c r="M79" s="87">
        <v>0</v>
      </c>
    </row>
    <row r="80" spans="1:13" ht="16" x14ac:dyDescent="0.35">
      <c r="A80" s="354">
        <v>29</v>
      </c>
      <c r="B80" s="96" t="s">
        <v>79</v>
      </c>
      <c r="C80" s="97"/>
      <c r="D80" s="97"/>
      <c r="E80" s="97"/>
      <c r="F80" s="97"/>
      <c r="G80" s="97"/>
      <c r="H80" s="97"/>
      <c r="I80" s="97"/>
      <c r="J80" s="98"/>
      <c r="K80" s="97"/>
      <c r="L80" s="97"/>
      <c r="M80" s="99"/>
    </row>
    <row r="81" spans="1:14" ht="15.5" thickBot="1" x14ac:dyDescent="0.4">
      <c r="A81" s="355"/>
      <c r="B81" s="81" t="s">
        <v>80</v>
      </c>
      <c r="C81" s="82">
        <v>82</v>
      </c>
      <c r="D81" s="83">
        <v>83</v>
      </c>
      <c r="E81" s="83">
        <v>76</v>
      </c>
      <c r="F81" s="82">
        <v>66</v>
      </c>
      <c r="G81" s="82">
        <v>60</v>
      </c>
      <c r="H81" s="84">
        <v>60</v>
      </c>
      <c r="I81" s="82">
        <v>60</v>
      </c>
      <c r="J81" s="85">
        <v>60</v>
      </c>
      <c r="K81" s="86">
        <v>60</v>
      </c>
      <c r="L81" s="86">
        <v>60</v>
      </c>
      <c r="M81" s="87">
        <v>60</v>
      </c>
    </row>
    <row r="82" spans="1:14" ht="16" x14ac:dyDescent="0.35">
      <c r="A82" s="354">
        <v>30</v>
      </c>
      <c r="B82" s="96" t="s">
        <v>81</v>
      </c>
      <c r="C82" s="97"/>
      <c r="D82" s="97"/>
      <c r="E82" s="97"/>
      <c r="F82" s="97"/>
      <c r="G82" s="97"/>
      <c r="H82" s="97"/>
      <c r="I82" s="97"/>
      <c r="J82" s="98"/>
      <c r="K82" s="97"/>
      <c r="L82" s="97"/>
      <c r="M82" s="99"/>
    </row>
    <row r="83" spans="1:14" ht="15.5" thickBot="1" x14ac:dyDescent="0.4">
      <c r="A83" s="355"/>
      <c r="B83" s="81" t="s">
        <v>69</v>
      </c>
      <c r="C83" s="82">
        <v>154.30000000000001</v>
      </c>
      <c r="D83" s="83">
        <v>155.4</v>
      </c>
      <c r="E83" s="83">
        <v>154.9</v>
      </c>
      <c r="F83" s="86">
        <v>154.5</v>
      </c>
      <c r="G83" s="82">
        <v>153.5</v>
      </c>
      <c r="H83" s="84">
        <v>153.4</v>
      </c>
      <c r="I83" s="82">
        <v>151.6</v>
      </c>
      <c r="J83" s="85">
        <v>149.19999999999999</v>
      </c>
      <c r="K83" s="86">
        <v>149.30000000000001</v>
      </c>
      <c r="L83" s="86">
        <v>153.4</v>
      </c>
      <c r="M83" s="87">
        <v>150.9</v>
      </c>
    </row>
    <row r="84" spans="1:14" ht="15.5" thickBot="1" x14ac:dyDescent="0.4">
      <c r="A84" s="95">
        <v>31</v>
      </c>
      <c r="B84" s="81" t="s">
        <v>82</v>
      </c>
      <c r="C84" s="82">
        <v>166.4</v>
      </c>
      <c r="D84" s="83">
        <v>166.4</v>
      </c>
      <c r="E84" s="83">
        <v>166.5</v>
      </c>
      <c r="F84" s="86">
        <v>166.5</v>
      </c>
      <c r="G84" s="82">
        <v>166.5</v>
      </c>
      <c r="H84" s="84">
        <v>166.5</v>
      </c>
      <c r="I84" s="82">
        <v>166.5</v>
      </c>
      <c r="J84" s="85">
        <v>166.4</v>
      </c>
      <c r="K84" s="86">
        <v>166.4</v>
      </c>
      <c r="L84" s="86">
        <v>166.5</v>
      </c>
      <c r="M84" s="87">
        <v>166.4</v>
      </c>
    </row>
    <row r="85" spans="1:14" ht="15.5" thickBot="1" x14ac:dyDescent="0.4">
      <c r="A85" s="95">
        <v>32</v>
      </c>
      <c r="B85" s="81" t="s">
        <v>83</v>
      </c>
      <c r="C85" s="82">
        <v>296.60000000000002</v>
      </c>
      <c r="D85" s="83">
        <v>299.7</v>
      </c>
      <c r="E85" s="83">
        <v>299.5</v>
      </c>
      <c r="F85" s="86">
        <v>300.39999999999998</v>
      </c>
      <c r="G85" s="82">
        <v>299.7</v>
      </c>
      <c r="H85" s="84">
        <v>299.60000000000002</v>
      </c>
      <c r="I85" s="82">
        <v>297.60000000000002</v>
      </c>
      <c r="J85" s="85">
        <v>294.3</v>
      </c>
      <c r="K85" s="86">
        <v>294.3</v>
      </c>
      <c r="L85" s="86">
        <v>297.60000000000002</v>
      </c>
      <c r="M85" s="87">
        <v>294.3</v>
      </c>
    </row>
    <row r="86" spans="1:14" ht="15.5" thickBot="1" x14ac:dyDescent="0.4">
      <c r="A86" s="95">
        <v>33</v>
      </c>
      <c r="B86" s="81" t="s">
        <v>84</v>
      </c>
      <c r="C86" s="82">
        <v>8.3278999999999996</v>
      </c>
      <c r="D86" s="83">
        <v>8.5502000000000002</v>
      </c>
      <c r="E86" s="83">
        <v>8.7029999999999994</v>
      </c>
      <c r="F86" s="86">
        <v>8.8745999999999992</v>
      </c>
      <c r="G86" s="82">
        <v>8.8004999999999995</v>
      </c>
      <c r="H86" s="82">
        <v>8.7921999999999993</v>
      </c>
      <c r="I86" s="82">
        <v>8.5907999999999998</v>
      </c>
      <c r="J86" s="85">
        <v>8.3596000000000004</v>
      </c>
      <c r="K86" s="86">
        <v>8.3596000000000004</v>
      </c>
      <c r="L86" s="86">
        <v>8.5907999999999998</v>
      </c>
      <c r="M86" s="87">
        <v>8.3596000000000004</v>
      </c>
    </row>
    <row r="87" spans="1:14" ht="15.5" thickBot="1" x14ac:dyDescent="0.4">
      <c r="A87" s="100">
        <v>34</v>
      </c>
      <c r="B87" s="88" t="s">
        <v>85</v>
      </c>
      <c r="C87" s="89">
        <v>0.68640000000000001</v>
      </c>
      <c r="D87" s="90">
        <v>0.70220000000000005</v>
      </c>
      <c r="E87" s="90">
        <v>0.69799999999999995</v>
      </c>
      <c r="F87" s="91">
        <v>0.69130000000000003</v>
      </c>
      <c r="G87" s="89">
        <v>0.67410000000000003</v>
      </c>
      <c r="H87" s="89">
        <v>0.67269999999999996</v>
      </c>
      <c r="I87" s="89">
        <v>0.64080000000000004</v>
      </c>
      <c r="J87" s="93">
        <v>0.60360000000000003</v>
      </c>
      <c r="K87" s="91">
        <v>0.60370000000000001</v>
      </c>
      <c r="L87" s="91">
        <v>0.66859999999999997</v>
      </c>
      <c r="M87" s="94">
        <v>0.63119999999999998</v>
      </c>
    </row>
    <row r="88" spans="1:14" ht="15.5" customHeight="1" thickTop="1" thickBot="1" x14ac:dyDescent="0.4">
      <c r="A88" s="356" t="s">
        <v>86</v>
      </c>
      <c r="B88" s="357"/>
      <c r="C88" s="357"/>
      <c r="D88" s="357"/>
      <c r="E88" s="357"/>
      <c r="F88" s="357"/>
      <c r="G88" s="357"/>
      <c r="H88" s="357"/>
      <c r="I88" s="357"/>
      <c r="J88" s="357"/>
      <c r="K88" s="357"/>
      <c r="L88" s="357"/>
      <c r="M88" s="357"/>
      <c r="N88" s="101"/>
    </row>
    <row r="89" spans="1:14" ht="15.5" thickTop="1" thickBot="1" x14ac:dyDescent="0.4">
      <c r="A89" s="102">
        <v>35</v>
      </c>
      <c r="B89" s="103" t="s">
        <v>87</v>
      </c>
      <c r="C89" s="68">
        <v>170</v>
      </c>
      <c r="D89" s="104">
        <v>170</v>
      </c>
      <c r="E89" s="67">
        <v>170</v>
      </c>
      <c r="F89" s="67">
        <v>169.4</v>
      </c>
      <c r="G89" s="68">
        <v>163.5</v>
      </c>
      <c r="H89" s="68">
        <v>163</v>
      </c>
      <c r="I89" s="69">
        <v>148.19999999999999</v>
      </c>
      <c r="J89" s="67">
        <v>128.6</v>
      </c>
      <c r="K89" s="68">
        <v>128.6</v>
      </c>
      <c r="L89" s="68">
        <v>148.19999999999999</v>
      </c>
      <c r="M89" s="70">
        <v>128.6</v>
      </c>
    </row>
    <row r="90" spans="1:14" ht="15" thickBot="1" x14ac:dyDescent="0.4">
      <c r="A90" s="102">
        <v>36</v>
      </c>
      <c r="B90" s="105" t="s">
        <v>88</v>
      </c>
      <c r="C90" s="68">
        <v>46.5</v>
      </c>
      <c r="D90" s="104">
        <v>47.64</v>
      </c>
      <c r="E90" s="67">
        <v>50.62</v>
      </c>
      <c r="F90" s="67">
        <v>55.77</v>
      </c>
      <c r="G90" s="68">
        <v>58.64</v>
      </c>
      <c r="H90" s="68">
        <v>58.89</v>
      </c>
      <c r="I90" s="69">
        <v>60.08</v>
      </c>
      <c r="J90" s="67">
        <v>58.87</v>
      </c>
      <c r="K90" s="68">
        <v>58.8</v>
      </c>
      <c r="L90" s="68">
        <v>66.709999999999994</v>
      </c>
      <c r="M90" s="70">
        <v>62.8</v>
      </c>
    </row>
    <row r="91" spans="1:14" ht="15" thickBot="1" x14ac:dyDescent="0.4">
      <c r="A91" s="102">
        <v>37</v>
      </c>
      <c r="B91" s="105" t="s">
        <v>89</v>
      </c>
      <c r="C91" s="68">
        <v>216.5</v>
      </c>
      <c r="D91" s="104">
        <v>217.64</v>
      </c>
      <c r="E91" s="67">
        <v>220.62</v>
      </c>
      <c r="F91" s="67">
        <v>225.17</v>
      </c>
      <c r="G91" s="68">
        <v>222.14</v>
      </c>
      <c r="H91" s="68">
        <v>221.89</v>
      </c>
      <c r="I91" s="69">
        <v>208.28</v>
      </c>
      <c r="J91" s="67">
        <v>187.47</v>
      </c>
      <c r="K91" s="68">
        <v>187.4</v>
      </c>
      <c r="L91" s="68">
        <v>214.91</v>
      </c>
      <c r="M91" s="70">
        <v>191.4</v>
      </c>
    </row>
    <row r="92" spans="1:14" ht="15" thickBot="1" x14ac:dyDescent="0.4">
      <c r="A92" s="352">
        <v>38</v>
      </c>
      <c r="B92" s="106" t="s">
        <v>262</v>
      </c>
      <c r="C92" s="68">
        <v>114.51</v>
      </c>
      <c r="D92" s="104">
        <v>117.52</v>
      </c>
      <c r="E92" s="67">
        <v>113.73</v>
      </c>
      <c r="F92" s="67">
        <v>102.51</v>
      </c>
      <c r="G92" s="68">
        <v>85.72</v>
      </c>
      <c r="H92" s="68">
        <v>84.34</v>
      </c>
      <c r="I92" s="69">
        <v>68.78</v>
      </c>
      <c r="J92" s="67">
        <v>62.35</v>
      </c>
      <c r="K92" s="68">
        <v>62.35</v>
      </c>
      <c r="L92" s="68">
        <v>102.85</v>
      </c>
      <c r="M92" s="70">
        <v>102.67</v>
      </c>
    </row>
    <row r="93" spans="1:14" ht="15" thickBot="1" x14ac:dyDescent="0.4">
      <c r="A93" s="353"/>
      <c r="B93" s="105" t="s">
        <v>91</v>
      </c>
      <c r="C93" s="68">
        <v>98.48</v>
      </c>
      <c r="D93" s="104">
        <v>101.07</v>
      </c>
      <c r="E93" s="67">
        <v>97.81</v>
      </c>
      <c r="F93" s="67">
        <v>88.16</v>
      </c>
      <c r="G93" s="68">
        <v>73.72</v>
      </c>
      <c r="H93" s="68">
        <v>72.53</v>
      </c>
      <c r="I93" s="69">
        <v>59.15</v>
      </c>
      <c r="J93" s="67">
        <v>53.62</v>
      </c>
      <c r="K93" s="68">
        <v>53.62</v>
      </c>
      <c r="L93" s="68">
        <v>88.45</v>
      </c>
      <c r="M93" s="70">
        <v>88.3</v>
      </c>
    </row>
    <row r="94" spans="1:14" ht="15" thickBot="1" x14ac:dyDescent="0.4">
      <c r="A94" s="352">
        <v>39</v>
      </c>
      <c r="B94" s="106" t="s">
        <v>263</v>
      </c>
      <c r="C94" s="68">
        <v>44.19</v>
      </c>
      <c r="D94" s="104">
        <v>44.67</v>
      </c>
      <c r="E94" s="67">
        <v>51.35</v>
      </c>
      <c r="F94" s="67">
        <v>65.97</v>
      </c>
      <c r="G94" s="68">
        <v>82.1</v>
      </c>
      <c r="H94" s="68">
        <v>83.41</v>
      </c>
      <c r="I94" s="69">
        <v>94.13</v>
      </c>
      <c r="J94" s="67">
        <v>92.45</v>
      </c>
      <c r="K94" s="68">
        <v>92.45</v>
      </c>
      <c r="L94" s="68">
        <v>0</v>
      </c>
      <c r="M94" s="70">
        <v>0</v>
      </c>
    </row>
    <row r="95" spans="1:14" ht="15" thickBot="1" x14ac:dyDescent="0.4">
      <c r="A95" s="353"/>
      <c r="B95" s="105" t="s">
        <v>91</v>
      </c>
      <c r="C95" s="68">
        <v>38</v>
      </c>
      <c r="D95" s="104">
        <v>38.42</v>
      </c>
      <c r="E95" s="67">
        <v>44.16</v>
      </c>
      <c r="F95" s="67">
        <v>56.73</v>
      </c>
      <c r="G95" s="68">
        <v>70.61</v>
      </c>
      <c r="H95" s="68">
        <v>71.73</v>
      </c>
      <c r="I95" s="69">
        <v>80.95</v>
      </c>
      <c r="J95" s="67">
        <v>79.510000000000005</v>
      </c>
      <c r="K95" s="68">
        <v>79.510000000000005</v>
      </c>
      <c r="L95" s="68">
        <v>0</v>
      </c>
      <c r="M95" s="70">
        <v>0</v>
      </c>
    </row>
    <row r="96" spans="1:14" ht="15" thickBot="1" x14ac:dyDescent="0.4">
      <c r="A96" s="352">
        <v>40</v>
      </c>
      <c r="B96" s="106" t="s">
        <v>264</v>
      </c>
      <c r="C96" s="68">
        <v>9.57</v>
      </c>
      <c r="D96" s="107">
        <v>9.92</v>
      </c>
      <c r="E96" s="107">
        <v>9.8000000000000007</v>
      </c>
      <c r="F96" s="67">
        <v>9.31</v>
      </c>
      <c r="G96" s="68">
        <v>7.92</v>
      </c>
      <c r="H96" s="68">
        <v>7.5</v>
      </c>
      <c r="I96" s="69">
        <v>6.07</v>
      </c>
      <c r="J96" s="107">
        <v>5.35</v>
      </c>
      <c r="K96" s="68">
        <v>5.35</v>
      </c>
      <c r="L96" s="68">
        <v>6.48</v>
      </c>
      <c r="M96" s="70">
        <v>6.43</v>
      </c>
    </row>
    <row r="97" spans="1:13" ht="15" thickBot="1" x14ac:dyDescent="0.4">
      <c r="A97" s="353"/>
      <c r="B97" s="105" t="s">
        <v>91</v>
      </c>
      <c r="C97" s="68">
        <v>8.23</v>
      </c>
      <c r="D97" s="107">
        <v>8.5299999999999994</v>
      </c>
      <c r="E97" s="107">
        <v>8.43</v>
      </c>
      <c r="F97" s="67">
        <v>8.01</v>
      </c>
      <c r="G97" s="68">
        <v>6.81</v>
      </c>
      <c r="H97" s="68">
        <v>6.43</v>
      </c>
      <c r="I97" s="69">
        <v>5.22</v>
      </c>
      <c r="J97" s="107">
        <v>4.5999999999999996</v>
      </c>
      <c r="K97" s="68">
        <v>4.5999999999999996</v>
      </c>
      <c r="L97" s="68">
        <v>5.57</v>
      </c>
      <c r="M97" s="70">
        <v>5.53</v>
      </c>
    </row>
    <row r="98" spans="1:13" ht="15" thickBot="1" x14ac:dyDescent="0.4">
      <c r="A98" s="352">
        <v>41</v>
      </c>
      <c r="B98" s="106" t="s">
        <v>265</v>
      </c>
      <c r="C98" s="68">
        <v>12.31</v>
      </c>
      <c r="D98" s="104">
        <v>12.01</v>
      </c>
      <c r="E98" s="67">
        <v>12.64</v>
      </c>
      <c r="F98" s="67">
        <v>12.31</v>
      </c>
      <c r="G98" s="68">
        <v>10.65</v>
      </c>
      <c r="H98" s="68">
        <v>10.7</v>
      </c>
      <c r="I98" s="69">
        <v>8.31</v>
      </c>
      <c r="J98" s="107">
        <v>7.2</v>
      </c>
      <c r="K98" s="68">
        <v>7.2</v>
      </c>
      <c r="L98" s="68">
        <v>7.23</v>
      </c>
      <c r="M98" s="70">
        <v>7.55</v>
      </c>
    </row>
    <row r="99" spans="1:13" ht="15" thickBot="1" x14ac:dyDescent="0.4">
      <c r="A99" s="353"/>
      <c r="B99" s="105" t="s">
        <v>91</v>
      </c>
      <c r="C99" s="68">
        <v>10.59</v>
      </c>
      <c r="D99" s="104">
        <v>10.33</v>
      </c>
      <c r="E99" s="67">
        <v>10.87</v>
      </c>
      <c r="F99" s="67">
        <v>10.59</v>
      </c>
      <c r="G99" s="68">
        <v>9.16</v>
      </c>
      <c r="H99" s="68">
        <v>9.1999999999999993</v>
      </c>
      <c r="I99" s="69">
        <v>7.15</v>
      </c>
      <c r="J99" s="107">
        <v>6.19</v>
      </c>
      <c r="K99" s="68">
        <v>6.19</v>
      </c>
      <c r="L99" s="68">
        <v>6.22</v>
      </c>
      <c r="M99" s="70">
        <v>6.49</v>
      </c>
    </row>
    <row r="100" spans="1:13" ht="15" thickBot="1" x14ac:dyDescent="0.4">
      <c r="A100" s="352">
        <v>42</v>
      </c>
      <c r="B100" s="105" t="s">
        <v>92</v>
      </c>
      <c r="C100" s="68">
        <v>155.30000000000001</v>
      </c>
      <c r="D100" s="104">
        <v>158.35</v>
      </c>
      <c r="E100" s="67">
        <v>161.27000000000001</v>
      </c>
      <c r="F100" s="67">
        <v>163.49</v>
      </c>
      <c r="G100" s="68">
        <v>160.30000000000001</v>
      </c>
      <c r="H100" s="68">
        <v>159.88999999999999</v>
      </c>
      <c r="I100" s="69">
        <v>152.47</v>
      </c>
      <c r="J100" s="67">
        <v>143.91999999999999</v>
      </c>
      <c r="K100" s="68">
        <v>143.91999999999999</v>
      </c>
      <c r="L100" s="68">
        <v>100.24</v>
      </c>
      <c r="M100" s="70">
        <v>100.32</v>
      </c>
    </row>
    <row r="101" spans="1:13" ht="15" thickBot="1" x14ac:dyDescent="0.4">
      <c r="A101" s="353"/>
      <c r="B101" s="105" t="s">
        <v>90</v>
      </c>
      <c r="C101" s="68">
        <v>180.58</v>
      </c>
      <c r="D101" s="104">
        <v>184.13</v>
      </c>
      <c r="E101" s="67">
        <v>187.52</v>
      </c>
      <c r="F101" s="67">
        <v>190.1</v>
      </c>
      <c r="G101" s="68">
        <v>186.4</v>
      </c>
      <c r="H101" s="68">
        <v>185.92</v>
      </c>
      <c r="I101" s="69">
        <v>177.29</v>
      </c>
      <c r="J101" s="67">
        <v>167.35</v>
      </c>
      <c r="K101" s="68">
        <v>167.35</v>
      </c>
      <c r="L101" s="68">
        <v>116.56</v>
      </c>
      <c r="M101" s="70">
        <v>116.65</v>
      </c>
    </row>
    <row r="102" spans="1:13" ht="15" thickBot="1" x14ac:dyDescent="0.4">
      <c r="A102" s="102">
        <v>43</v>
      </c>
      <c r="B102" s="105" t="s">
        <v>93</v>
      </c>
      <c r="C102" s="68">
        <v>60.47</v>
      </c>
      <c r="D102" s="104">
        <v>60.53</v>
      </c>
      <c r="E102" s="67">
        <v>60.53</v>
      </c>
      <c r="F102" s="67">
        <v>60.53</v>
      </c>
      <c r="G102" s="68">
        <v>58.78</v>
      </c>
      <c r="H102" s="68">
        <v>58.66</v>
      </c>
      <c r="I102" s="69">
        <v>54.44</v>
      </c>
      <c r="J102" s="67">
        <v>49.14</v>
      </c>
      <c r="K102" s="68">
        <v>49.14</v>
      </c>
      <c r="L102" s="68">
        <v>54.44</v>
      </c>
      <c r="M102" s="70">
        <v>49.14</v>
      </c>
    </row>
    <row r="103" spans="1:13" ht="15.5" x14ac:dyDescent="0.35">
      <c r="A103" s="350">
        <v>44</v>
      </c>
      <c r="B103" s="108" t="s">
        <v>94</v>
      </c>
      <c r="C103" s="57"/>
      <c r="D103" s="57"/>
      <c r="E103" s="57"/>
      <c r="F103" s="57"/>
      <c r="G103" s="57"/>
      <c r="H103" s="57"/>
      <c r="I103" s="58"/>
      <c r="J103" s="57"/>
      <c r="K103" s="57"/>
      <c r="L103" s="57"/>
      <c r="M103" s="59"/>
    </row>
    <row r="104" spans="1:13" ht="15" thickBot="1" x14ac:dyDescent="0.4">
      <c r="A104" s="351"/>
      <c r="B104" s="109" t="s">
        <v>95</v>
      </c>
      <c r="C104" s="68">
        <v>150</v>
      </c>
      <c r="D104" s="107">
        <v>150</v>
      </c>
      <c r="E104" s="107">
        <v>150</v>
      </c>
      <c r="F104" s="107">
        <v>150</v>
      </c>
      <c r="G104" s="68">
        <v>150</v>
      </c>
      <c r="H104" s="68">
        <v>150</v>
      </c>
      <c r="I104" s="69">
        <v>150</v>
      </c>
      <c r="J104" s="107">
        <v>150</v>
      </c>
      <c r="K104" s="68">
        <v>150</v>
      </c>
      <c r="L104" s="68">
        <v>150</v>
      </c>
      <c r="M104" s="70">
        <v>150</v>
      </c>
    </row>
    <row r="105" spans="1:13" ht="15.5" x14ac:dyDescent="0.35">
      <c r="A105" s="350">
        <v>45</v>
      </c>
      <c r="B105" s="108" t="s">
        <v>96</v>
      </c>
      <c r="C105" s="57"/>
      <c r="D105" s="57"/>
      <c r="E105" s="57"/>
      <c r="F105" s="57"/>
      <c r="G105" s="57"/>
      <c r="H105" s="57"/>
      <c r="I105" s="58"/>
      <c r="J105" s="57"/>
      <c r="K105" s="57"/>
      <c r="L105" s="57"/>
      <c r="M105" s="59"/>
    </row>
    <row r="106" spans="1:13" ht="15" thickBot="1" x14ac:dyDescent="0.4">
      <c r="A106" s="351"/>
      <c r="B106" s="109" t="s">
        <v>97</v>
      </c>
      <c r="C106" s="68">
        <v>23.3</v>
      </c>
      <c r="D106" s="104">
        <v>23.75</v>
      </c>
      <c r="E106" s="67">
        <v>24.19</v>
      </c>
      <c r="F106" s="67">
        <v>24.52</v>
      </c>
      <c r="G106" s="68">
        <v>24.05</v>
      </c>
      <c r="H106" s="68">
        <v>23.98</v>
      </c>
      <c r="I106" s="69">
        <v>22.87</v>
      </c>
      <c r="J106" s="67">
        <v>21.59</v>
      </c>
      <c r="K106" s="68">
        <v>21.59</v>
      </c>
      <c r="L106" s="68">
        <v>15.04</v>
      </c>
      <c r="M106" s="70">
        <v>15.05</v>
      </c>
    </row>
    <row r="107" spans="1:13" ht="15.5" x14ac:dyDescent="0.35">
      <c r="A107" s="350">
        <v>46</v>
      </c>
      <c r="B107" s="108" t="s">
        <v>96</v>
      </c>
      <c r="C107" s="57"/>
      <c r="D107" s="57"/>
      <c r="E107" s="57"/>
      <c r="F107" s="57"/>
      <c r="G107" s="57"/>
      <c r="H107" s="57"/>
      <c r="I107" s="58"/>
      <c r="J107" s="57"/>
      <c r="K107" s="57"/>
      <c r="L107" s="57"/>
      <c r="M107" s="59"/>
    </row>
    <row r="108" spans="1:13" ht="15" thickBot="1" x14ac:dyDescent="0.4">
      <c r="A108" s="351"/>
      <c r="B108" s="109" t="s">
        <v>98</v>
      </c>
      <c r="C108" s="68">
        <v>37.18</v>
      </c>
      <c r="D108" s="104">
        <v>36.78</v>
      </c>
      <c r="E108" s="67">
        <v>36.340000000000003</v>
      </c>
      <c r="F108" s="67">
        <v>36.01</v>
      </c>
      <c r="G108" s="68">
        <v>34.74</v>
      </c>
      <c r="H108" s="68">
        <v>34.68</v>
      </c>
      <c r="I108" s="69">
        <v>31.57</v>
      </c>
      <c r="J108" s="67">
        <v>27.55</v>
      </c>
      <c r="K108" s="68">
        <v>27.55</v>
      </c>
      <c r="L108" s="68">
        <v>39.4</v>
      </c>
      <c r="M108" s="70">
        <v>34.090000000000003</v>
      </c>
    </row>
    <row r="109" spans="1:13" ht="15.5" x14ac:dyDescent="0.35">
      <c r="A109" s="350">
        <v>47</v>
      </c>
      <c r="B109" s="108" t="s">
        <v>94</v>
      </c>
      <c r="C109" s="57"/>
      <c r="D109" s="57"/>
      <c r="E109" s="57"/>
      <c r="F109" s="57"/>
      <c r="G109" s="57"/>
      <c r="H109" s="57"/>
      <c r="I109" s="58"/>
      <c r="J109" s="57"/>
      <c r="K109" s="57"/>
      <c r="L109" s="57"/>
      <c r="M109" s="59"/>
    </row>
    <row r="110" spans="1:13" ht="15" thickBot="1" x14ac:dyDescent="0.4">
      <c r="A110" s="351"/>
      <c r="B110" s="109" t="s">
        <v>99</v>
      </c>
      <c r="C110" s="68">
        <v>171.71</v>
      </c>
      <c r="D110" s="104">
        <v>168.98</v>
      </c>
      <c r="E110" s="67">
        <v>164.72</v>
      </c>
      <c r="F110" s="67">
        <v>159.91</v>
      </c>
      <c r="G110" s="68">
        <v>156.37</v>
      </c>
      <c r="H110" s="68">
        <v>156.28</v>
      </c>
      <c r="I110" s="69">
        <v>151.57</v>
      </c>
      <c r="J110" s="67">
        <v>146.97</v>
      </c>
      <c r="K110" s="68">
        <v>147.02000000000001</v>
      </c>
      <c r="L110" s="68">
        <v>183.35</v>
      </c>
      <c r="M110" s="70">
        <v>178.12</v>
      </c>
    </row>
    <row r="111" spans="1:13" ht="15" thickBot="1" x14ac:dyDescent="0.4">
      <c r="A111" s="102">
        <v>48</v>
      </c>
      <c r="B111" s="105" t="s">
        <v>100</v>
      </c>
      <c r="C111" s="68">
        <v>80.7</v>
      </c>
      <c r="D111" s="107">
        <v>81.599999999999994</v>
      </c>
      <c r="E111" s="107">
        <v>82.8</v>
      </c>
      <c r="F111" s="67">
        <v>84.3</v>
      </c>
      <c r="G111" s="68">
        <v>85.4</v>
      </c>
      <c r="H111" s="68">
        <v>85.4</v>
      </c>
      <c r="I111" s="69">
        <v>87</v>
      </c>
      <c r="J111" s="107">
        <v>88.7</v>
      </c>
      <c r="K111" s="68">
        <v>88.7</v>
      </c>
      <c r="L111" s="68">
        <v>74.8</v>
      </c>
      <c r="M111" s="70">
        <v>77</v>
      </c>
    </row>
    <row r="112" spans="1:13" ht="15" thickBot="1" x14ac:dyDescent="0.4">
      <c r="A112" s="110">
        <v>49</v>
      </c>
      <c r="B112" s="111" t="s">
        <v>101</v>
      </c>
      <c r="C112" s="77">
        <v>0.54500000000000004</v>
      </c>
      <c r="D112" s="112">
        <v>0.54200000000000004</v>
      </c>
      <c r="E112" s="76">
        <v>0.54100000000000004</v>
      </c>
      <c r="F112" s="76">
        <v>0.54200000000000004</v>
      </c>
      <c r="G112" s="77">
        <v>0.54400000000000004</v>
      </c>
      <c r="H112" s="77">
        <v>0.54400000000000004</v>
      </c>
      <c r="I112" s="78">
        <v>0.54</v>
      </c>
      <c r="J112" s="76">
        <v>0.52800000000000002</v>
      </c>
      <c r="K112" s="77">
        <v>0.52800000000000002</v>
      </c>
      <c r="L112" s="77">
        <v>0.64800000000000002</v>
      </c>
      <c r="M112" s="79">
        <v>0.621</v>
      </c>
    </row>
    <row r="113" spans="1:8" ht="15" thickTop="1" x14ac:dyDescent="0.35"/>
    <row r="114" spans="1:8" ht="15" x14ac:dyDescent="0.35">
      <c r="A114" s="113" t="s">
        <v>102</v>
      </c>
    </row>
    <row r="115" spans="1:8" ht="15" x14ac:dyDescent="0.35">
      <c r="A115" s="113" t="s">
        <v>103</v>
      </c>
    </row>
    <row r="116" spans="1:8" ht="16" thickBot="1" x14ac:dyDescent="0.4">
      <c r="A116" s="114" t="s">
        <v>104</v>
      </c>
    </row>
    <row r="117" spans="1:8" ht="16.5" thickTop="1" thickBot="1" x14ac:dyDescent="0.4">
      <c r="A117" s="115" t="s">
        <v>105</v>
      </c>
      <c r="B117" s="289" t="s">
        <v>1</v>
      </c>
      <c r="C117" s="338" t="s">
        <v>107</v>
      </c>
      <c r="D117" s="339"/>
      <c r="E117" s="339"/>
      <c r="F117" s="339"/>
      <c r="G117" s="339"/>
      <c r="H117" s="340"/>
    </row>
    <row r="118" spans="1:8" ht="16.5" thickTop="1" thickBot="1" x14ac:dyDescent="0.4">
      <c r="A118" s="116" t="s">
        <v>106</v>
      </c>
      <c r="B118" s="288"/>
      <c r="C118" s="117">
        <v>-40</v>
      </c>
      <c r="D118" s="117">
        <v>-28</v>
      </c>
      <c r="E118" s="117">
        <v>-10.199999999999999</v>
      </c>
      <c r="F118" s="118">
        <v>-3.1</v>
      </c>
      <c r="G118" s="117">
        <v>15</v>
      </c>
      <c r="H118" s="117">
        <v>37</v>
      </c>
    </row>
    <row r="119" spans="1:8" ht="18.5" thickTop="1" thickBot="1" x14ac:dyDescent="0.4">
      <c r="A119" s="341"/>
      <c r="B119" s="119"/>
      <c r="C119" s="343" t="s">
        <v>4</v>
      </c>
      <c r="D119" s="344"/>
      <c r="E119" s="344"/>
      <c r="F119" s="344"/>
      <c r="G119" s="344"/>
      <c r="H119" s="345"/>
    </row>
    <row r="120" spans="1:8" ht="16.5" thickTop="1" thickBot="1" x14ac:dyDescent="0.4">
      <c r="A120" s="342"/>
      <c r="B120" s="117" t="s">
        <v>3</v>
      </c>
      <c r="C120" s="346" t="s">
        <v>108</v>
      </c>
      <c r="D120" s="347"/>
      <c r="E120" s="347"/>
      <c r="F120" s="348"/>
      <c r="G120" s="79" t="s">
        <v>109</v>
      </c>
      <c r="H120" s="79" t="s">
        <v>109</v>
      </c>
    </row>
    <row r="121" spans="1:8" ht="16" thickTop="1" thickBot="1" x14ac:dyDescent="0.4">
      <c r="A121" s="302" t="s">
        <v>8</v>
      </c>
      <c r="B121" s="303"/>
      <c r="C121" s="303"/>
      <c r="D121" s="303"/>
      <c r="E121" s="303"/>
      <c r="F121" s="303"/>
      <c r="G121" s="303"/>
      <c r="H121" s="304"/>
    </row>
    <row r="122" spans="1:8" ht="16.5" thickTop="1" thickBot="1" x14ac:dyDescent="0.4">
      <c r="A122" s="120">
        <v>1</v>
      </c>
      <c r="B122" s="121" t="s">
        <v>9</v>
      </c>
      <c r="C122" s="327">
        <v>75</v>
      </c>
      <c r="D122" s="328"/>
      <c r="E122" s="328"/>
      <c r="F122" s="328"/>
      <c r="G122" s="328"/>
      <c r="H122" s="329"/>
    </row>
    <row r="123" spans="1:8" ht="16.5" thickTop="1" thickBot="1" x14ac:dyDescent="0.4">
      <c r="A123" s="122">
        <v>2</v>
      </c>
      <c r="B123" s="123" t="s">
        <v>10</v>
      </c>
      <c r="C123" s="124">
        <v>127.3</v>
      </c>
      <c r="D123" s="124">
        <v>127.3</v>
      </c>
      <c r="E123" s="125">
        <v>127.3</v>
      </c>
      <c r="F123" s="126">
        <v>123.6</v>
      </c>
      <c r="G123" s="125">
        <v>111.9</v>
      </c>
      <c r="H123" s="125">
        <v>96.9</v>
      </c>
    </row>
    <row r="124" spans="1:8" ht="16" thickBot="1" x14ac:dyDescent="0.4">
      <c r="A124" s="120">
        <v>3</v>
      </c>
      <c r="B124" s="121" t="s">
        <v>11</v>
      </c>
      <c r="C124" s="127">
        <v>32.229999999999997</v>
      </c>
      <c r="D124" s="127">
        <v>32.22</v>
      </c>
      <c r="E124" s="117">
        <v>32.15</v>
      </c>
      <c r="F124" s="128">
        <v>31.94</v>
      </c>
      <c r="G124" s="117">
        <v>31.26</v>
      </c>
      <c r="H124" s="117">
        <v>30.02</v>
      </c>
    </row>
    <row r="125" spans="1:8" ht="16" thickTop="1" x14ac:dyDescent="0.35">
      <c r="A125" s="330">
        <v>4</v>
      </c>
      <c r="B125" s="59" t="s">
        <v>12</v>
      </c>
      <c r="C125" s="332">
        <v>8.0500000000000007</v>
      </c>
      <c r="D125" s="334">
        <v>8.0500000000000007</v>
      </c>
      <c r="E125" s="336">
        <v>8.07</v>
      </c>
      <c r="F125" s="330">
        <v>7.88</v>
      </c>
      <c r="G125" s="289">
        <v>7.29</v>
      </c>
      <c r="H125" s="289">
        <v>6.57</v>
      </c>
    </row>
    <row r="126" spans="1:8" ht="16" thickBot="1" x14ac:dyDescent="0.4">
      <c r="A126" s="331"/>
      <c r="B126" s="121" t="s">
        <v>13</v>
      </c>
      <c r="C126" s="333"/>
      <c r="D126" s="335"/>
      <c r="E126" s="337"/>
      <c r="F126" s="331"/>
      <c r="G126" s="288"/>
      <c r="H126" s="288"/>
    </row>
    <row r="127" spans="1:8" ht="16.5" thickTop="1" thickBot="1" x14ac:dyDescent="0.4">
      <c r="A127" s="122">
        <v>5</v>
      </c>
      <c r="B127" s="123" t="s">
        <v>14</v>
      </c>
      <c r="C127" s="124">
        <v>431.4</v>
      </c>
      <c r="D127" s="124">
        <v>437.5</v>
      </c>
      <c r="E127" s="125">
        <v>447.6</v>
      </c>
      <c r="F127" s="126">
        <v>441.4</v>
      </c>
      <c r="G127" s="125">
        <v>418.2</v>
      </c>
      <c r="H127" s="125">
        <v>382</v>
      </c>
    </row>
    <row r="128" spans="1:8" ht="16" thickBot="1" x14ac:dyDescent="0.4">
      <c r="A128" s="120">
        <v>6</v>
      </c>
      <c r="B128" s="121" t="s">
        <v>15</v>
      </c>
      <c r="C128" s="127">
        <v>522.1</v>
      </c>
      <c r="D128" s="127">
        <v>525.9</v>
      </c>
      <c r="E128" s="117">
        <v>531.4</v>
      </c>
      <c r="F128" s="128">
        <v>533.6</v>
      </c>
      <c r="G128" s="117">
        <v>540.9</v>
      </c>
      <c r="H128" s="117">
        <v>556.70000000000005</v>
      </c>
    </row>
    <row r="129" spans="1:8" ht="16" thickTop="1" thickBot="1" x14ac:dyDescent="0.4">
      <c r="A129" s="302" t="s">
        <v>16</v>
      </c>
      <c r="B129" s="303"/>
      <c r="C129" s="303"/>
      <c r="D129" s="303"/>
      <c r="E129" s="303"/>
      <c r="F129" s="303"/>
      <c r="G129" s="303"/>
      <c r="H129" s="304"/>
    </row>
    <row r="130" spans="1:8" ht="16.5" thickTop="1" thickBot="1" x14ac:dyDescent="0.4">
      <c r="A130" s="289">
        <v>7</v>
      </c>
      <c r="B130" s="121" t="s">
        <v>110</v>
      </c>
      <c r="C130" s="315"/>
      <c r="D130" s="316"/>
      <c r="E130" s="316"/>
      <c r="F130" s="316"/>
      <c r="G130" s="316"/>
      <c r="H130" s="317"/>
    </row>
    <row r="131" spans="1:8" ht="16.5" thickTop="1" thickBot="1" x14ac:dyDescent="0.4">
      <c r="A131" s="291"/>
      <c r="B131" s="123" t="s">
        <v>18</v>
      </c>
      <c r="C131" s="124">
        <v>455</v>
      </c>
      <c r="D131" s="124">
        <v>457.5</v>
      </c>
      <c r="E131" s="125">
        <v>461.1</v>
      </c>
      <c r="F131" s="126">
        <v>462.2</v>
      </c>
      <c r="G131" s="125">
        <v>466</v>
      </c>
      <c r="H131" s="125">
        <v>474.4</v>
      </c>
    </row>
    <row r="132" spans="1:8" ht="16" thickBot="1" x14ac:dyDescent="0.4">
      <c r="A132" s="291"/>
      <c r="B132" s="123" t="s">
        <v>19</v>
      </c>
      <c r="C132" s="124">
        <v>293.39999999999998</v>
      </c>
      <c r="D132" s="124">
        <v>295.3</v>
      </c>
      <c r="E132" s="125">
        <v>298.39999999999998</v>
      </c>
      <c r="F132" s="126">
        <v>297.89999999999998</v>
      </c>
      <c r="G132" s="125">
        <v>295.7</v>
      </c>
      <c r="H132" s="125">
        <v>292.8</v>
      </c>
    </row>
    <row r="133" spans="1:8" ht="16" thickBot="1" x14ac:dyDescent="0.4">
      <c r="A133" s="291"/>
      <c r="B133" s="121" t="s">
        <v>20</v>
      </c>
      <c r="C133" s="127">
        <v>231.6</v>
      </c>
      <c r="D133" s="127">
        <v>232.1</v>
      </c>
      <c r="E133" s="117">
        <v>233</v>
      </c>
      <c r="F133" s="128">
        <v>232.3</v>
      </c>
      <c r="G133" s="117">
        <v>229.8</v>
      </c>
      <c r="H133" s="117">
        <v>225.7</v>
      </c>
    </row>
    <row r="134" spans="1:8" ht="16.5" thickTop="1" thickBot="1" x14ac:dyDescent="0.4">
      <c r="A134" s="291"/>
      <c r="B134" s="123" t="s">
        <v>21</v>
      </c>
      <c r="C134" s="124">
        <v>228.5</v>
      </c>
      <c r="D134" s="124">
        <v>229</v>
      </c>
      <c r="E134" s="125">
        <v>229.9</v>
      </c>
      <c r="F134" s="126">
        <v>229.2</v>
      </c>
      <c r="G134" s="125">
        <v>226.8</v>
      </c>
      <c r="H134" s="125">
        <v>222.8</v>
      </c>
    </row>
    <row r="135" spans="1:8" ht="16" thickBot="1" x14ac:dyDescent="0.4">
      <c r="A135" s="291"/>
      <c r="B135" s="121" t="s">
        <v>22</v>
      </c>
      <c r="C135" s="127">
        <v>169.9</v>
      </c>
      <c r="D135" s="127">
        <v>170.8</v>
      </c>
      <c r="E135" s="117">
        <v>170.7</v>
      </c>
      <c r="F135" s="128">
        <v>169.9</v>
      </c>
      <c r="G135" s="117">
        <v>169</v>
      </c>
      <c r="H135" s="117">
        <v>165.7</v>
      </c>
    </row>
    <row r="136" spans="1:8" ht="16.5" thickTop="1" thickBot="1" x14ac:dyDescent="0.4">
      <c r="A136" s="290"/>
      <c r="B136" s="123" t="s">
        <v>23</v>
      </c>
      <c r="C136" s="124">
        <v>109.3</v>
      </c>
      <c r="D136" s="124">
        <v>111.5</v>
      </c>
      <c r="E136" s="125">
        <v>101.8</v>
      </c>
      <c r="F136" s="126">
        <v>99.4</v>
      </c>
      <c r="G136" s="125">
        <v>99</v>
      </c>
      <c r="H136" s="125">
        <v>96.7</v>
      </c>
    </row>
    <row r="137" spans="1:8" ht="16" thickBot="1" x14ac:dyDescent="0.4">
      <c r="A137" s="287">
        <v>8</v>
      </c>
      <c r="B137" s="121" t="s">
        <v>24</v>
      </c>
      <c r="C137" s="318"/>
      <c r="D137" s="319"/>
      <c r="E137" s="319"/>
      <c r="F137" s="319"/>
      <c r="G137" s="319"/>
      <c r="H137" s="320"/>
    </row>
    <row r="138" spans="1:8" ht="16.5" thickTop="1" thickBot="1" x14ac:dyDescent="0.4">
      <c r="A138" s="291"/>
      <c r="B138" s="123" t="s">
        <v>25</v>
      </c>
      <c r="C138" s="124">
        <v>51.75</v>
      </c>
      <c r="D138" s="124">
        <v>53</v>
      </c>
      <c r="E138" s="125">
        <v>54.97</v>
      </c>
      <c r="F138" s="126">
        <v>54.61</v>
      </c>
      <c r="G138" s="125">
        <v>53.06</v>
      </c>
      <c r="H138" s="125">
        <v>50.92</v>
      </c>
    </row>
    <row r="139" spans="1:8" ht="16" thickBot="1" x14ac:dyDescent="0.4">
      <c r="A139" s="291"/>
      <c r="B139" s="121" t="s">
        <v>26</v>
      </c>
      <c r="C139" s="127">
        <v>6.83</v>
      </c>
      <c r="D139" s="127">
        <v>7.0069999999999997</v>
      </c>
      <c r="E139" s="117">
        <v>7.2869999999999999</v>
      </c>
      <c r="F139" s="128">
        <v>7.2510000000000003</v>
      </c>
      <c r="G139" s="117">
        <v>7.08</v>
      </c>
      <c r="H139" s="117">
        <v>6.8680000000000003</v>
      </c>
    </row>
    <row r="140" spans="1:8" ht="16.5" thickTop="1" thickBot="1" x14ac:dyDescent="0.4">
      <c r="A140" s="290"/>
      <c r="B140" s="123" t="s">
        <v>27</v>
      </c>
      <c r="C140" s="124">
        <v>500.4</v>
      </c>
      <c r="D140" s="124">
        <v>503</v>
      </c>
      <c r="E140" s="125">
        <v>506.7</v>
      </c>
      <c r="F140" s="126">
        <v>508.7</v>
      </c>
      <c r="G140" s="125">
        <v>515.5</v>
      </c>
      <c r="H140" s="125">
        <v>529.70000000000005</v>
      </c>
    </row>
    <row r="141" spans="1:8" ht="16" thickBot="1" x14ac:dyDescent="0.4">
      <c r="A141" s="287">
        <v>9</v>
      </c>
      <c r="B141" s="121" t="s">
        <v>28</v>
      </c>
      <c r="C141" s="318"/>
      <c r="D141" s="319"/>
      <c r="E141" s="319"/>
      <c r="F141" s="319"/>
      <c r="G141" s="319"/>
      <c r="H141" s="320"/>
    </row>
    <row r="142" spans="1:8" ht="16.5" thickTop="1" thickBot="1" x14ac:dyDescent="0.4">
      <c r="A142" s="291"/>
      <c r="B142" s="123" t="s">
        <v>111</v>
      </c>
      <c r="C142" s="124">
        <v>12.72</v>
      </c>
      <c r="D142" s="124">
        <v>12.83</v>
      </c>
      <c r="E142" s="125">
        <v>13.31</v>
      </c>
      <c r="F142" s="126">
        <v>13.14</v>
      </c>
      <c r="G142" s="125">
        <v>12.12</v>
      </c>
      <c r="H142" s="125">
        <v>10.87</v>
      </c>
    </row>
    <row r="143" spans="1:8" ht="16" thickBot="1" x14ac:dyDescent="0.4">
      <c r="A143" s="291"/>
      <c r="B143" s="121" t="s">
        <v>26</v>
      </c>
      <c r="C143" s="127">
        <v>0.55800000000000005</v>
      </c>
      <c r="D143" s="127">
        <v>0.56999999999999995</v>
      </c>
      <c r="E143" s="117">
        <v>0.56200000000000006</v>
      </c>
      <c r="F143" s="128">
        <v>0.55200000000000005</v>
      </c>
      <c r="G143" s="117">
        <v>0.55300000000000005</v>
      </c>
      <c r="H143" s="117">
        <v>0.52300000000000002</v>
      </c>
    </row>
    <row r="144" spans="1:8" ht="16.5" thickTop="1" thickBot="1" x14ac:dyDescent="0.4">
      <c r="A144" s="288"/>
      <c r="B144" s="121" t="s">
        <v>27</v>
      </c>
      <c r="C144" s="127">
        <v>206.6</v>
      </c>
      <c r="D144" s="127">
        <v>207.1</v>
      </c>
      <c r="E144" s="117">
        <v>207.1</v>
      </c>
      <c r="F144" s="128">
        <v>206.5</v>
      </c>
      <c r="G144" s="117">
        <v>206</v>
      </c>
      <c r="H144" s="117">
        <v>203.8</v>
      </c>
    </row>
    <row r="145" spans="1:8" ht="16" thickTop="1" thickBot="1" x14ac:dyDescent="0.4">
      <c r="A145" s="302" t="s">
        <v>29</v>
      </c>
      <c r="B145" s="303"/>
      <c r="C145" s="303"/>
      <c r="D145" s="303"/>
      <c r="E145" s="303"/>
      <c r="F145" s="303"/>
      <c r="G145" s="303"/>
      <c r="H145" s="304"/>
    </row>
    <row r="146" spans="1:8" ht="16.5" thickTop="1" thickBot="1" x14ac:dyDescent="0.4">
      <c r="A146" s="295">
        <v>10</v>
      </c>
      <c r="B146" s="121" t="s">
        <v>30</v>
      </c>
      <c r="C146" s="315"/>
      <c r="D146" s="316"/>
      <c r="E146" s="316"/>
      <c r="F146" s="316"/>
      <c r="G146" s="316"/>
      <c r="H146" s="317"/>
    </row>
    <row r="147" spans="1:8" ht="16.5" thickTop="1" thickBot="1" x14ac:dyDescent="0.4">
      <c r="A147" s="314"/>
      <c r="B147" s="123" t="s">
        <v>31</v>
      </c>
      <c r="C147" s="124">
        <v>51.75</v>
      </c>
      <c r="D147" s="124">
        <v>53</v>
      </c>
      <c r="E147" s="125">
        <v>54.97</v>
      </c>
      <c r="F147" s="126">
        <v>54.61</v>
      </c>
      <c r="G147" s="125">
        <v>53.06</v>
      </c>
      <c r="H147" s="125">
        <v>50.92</v>
      </c>
    </row>
    <row r="148" spans="1:8" ht="16" thickBot="1" x14ac:dyDescent="0.4">
      <c r="A148" s="314"/>
      <c r="B148" s="121" t="s">
        <v>26</v>
      </c>
      <c r="C148" s="127">
        <v>6.4009999999999998</v>
      </c>
      <c r="D148" s="127">
        <v>6.5640000000000001</v>
      </c>
      <c r="E148" s="117">
        <v>6.8209999999999997</v>
      </c>
      <c r="F148" s="128">
        <v>6.7889999999999997</v>
      </c>
      <c r="G148" s="117">
        <v>6.633</v>
      </c>
      <c r="H148" s="117">
        <v>6.4409999999999998</v>
      </c>
    </row>
    <row r="149" spans="1:8" ht="16.5" thickTop="1" thickBot="1" x14ac:dyDescent="0.4">
      <c r="A149" s="293"/>
      <c r="B149" s="123" t="s">
        <v>32</v>
      </c>
      <c r="C149" s="124">
        <v>497.9</v>
      </c>
      <c r="D149" s="124">
        <v>500.5</v>
      </c>
      <c r="E149" s="125">
        <v>504.1</v>
      </c>
      <c r="F149" s="126">
        <v>506.1</v>
      </c>
      <c r="G149" s="125">
        <v>513.1</v>
      </c>
      <c r="H149" s="125">
        <v>527.29999999999995</v>
      </c>
    </row>
    <row r="150" spans="1:8" ht="16" thickBot="1" x14ac:dyDescent="0.4">
      <c r="A150" s="292">
        <v>11</v>
      </c>
      <c r="B150" s="121" t="s">
        <v>33</v>
      </c>
      <c r="C150" s="318"/>
      <c r="D150" s="319"/>
      <c r="E150" s="319"/>
      <c r="F150" s="319"/>
      <c r="G150" s="319"/>
      <c r="H150" s="320"/>
    </row>
    <row r="151" spans="1:8" ht="16.5" thickTop="1" thickBot="1" x14ac:dyDescent="0.4">
      <c r="A151" s="314"/>
      <c r="B151" s="123" t="s">
        <v>112</v>
      </c>
      <c r="C151" s="124">
        <v>12.72</v>
      </c>
      <c r="D151" s="124">
        <v>12.83</v>
      </c>
      <c r="E151" s="125">
        <v>13.31</v>
      </c>
      <c r="F151" s="126">
        <v>13.14</v>
      </c>
      <c r="G151" s="125">
        <v>12.12</v>
      </c>
      <c r="H151" s="125">
        <v>10.87</v>
      </c>
    </row>
    <row r="152" spans="1:8" ht="16" thickBot="1" x14ac:dyDescent="0.4">
      <c r="A152" s="314"/>
      <c r="B152" s="121" t="s">
        <v>26</v>
      </c>
      <c r="C152" s="127">
        <v>0.48199999999999998</v>
      </c>
      <c r="D152" s="127">
        <v>0.49399999999999999</v>
      </c>
      <c r="E152" s="117">
        <v>0.48</v>
      </c>
      <c r="F152" s="128">
        <v>0.47</v>
      </c>
      <c r="G152" s="117">
        <v>0.48399999999999999</v>
      </c>
      <c r="H152" s="117">
        <v>0.46400000000000002</v>
      </c>
    </row>
    <row r="153" spans="1:8" ht="16.5" thickTop="1" thickBot="1" x14ac:dyDescent="0.4">
      <c r="A153" s="293"/>
      <c r="B153" s="123" t="s">
        <v>27</v>
      </c>
      <c r="C153" s="124">
        <v>204.5</v>
      </c>
      <c r="D153" s="124">
        <v>205.3</v>
      </c>
      <c r="E153" s="125">
        <v>205.1</v>
      </c>
      <c r="F153" s="126">
        <v>204.6</v>
      </c>
      <c r="G153" s="125">
        <v>204.3</v>
      </c>
      <c r="H153" s="125">
        <v>202.3</v>
      </c>
    </row>
    <row r="154" spans="1:8" ht="16" thickBot="1" x14ac:dyDescent="0.4">
      <c r="A154" s="292">
        <v>12</v>
      </c>
      <c r="B154" s="121" t="s">
        <v>34</v>
      </c>
      <c r="C154" s="318"/>
      <c r="D154" s="319"/>
      <c r="E154" s="319"/>
      <c r="F154" s="319"/>
      <c r="G154" s="319"/>
      <c r="H154" s="320"/>
    </row>
    <row r="155" spans="1:8" ht="16.5" thickTop="1" thickBot="1" x14ac:dyDescent="0.4">
      <c r="A155" s="314"/>
      <c r="B155" s="123" t="s">
        <v>31</v>
      </c>
      <c r="C155" s="124">
        <v>64.22</v>
      </c>
      <c r="D155" s="124">
        <v>65.58</v>
      </c>
      <c r="E155" s="125">
        <v>68.03</v>
      </c>
      <c r="F155" s="126">
        <v>67.5</v>
      </c>
      <c r="G155" s="125">
        <v>64.92</v>
      </c>
      <c r="H155" s="125">
        <v>61.55</v>
      </c>
    </row>
    <row r="156" spans="1:8" ht="16" thickBot="1" x14ac:dyDescent="0.4">
      <c r="A156" s="314"/>
      <c r="B156" s="121" t="s">
        <v>26</v>
      </c>
      <c r="C156" s="127">
        <v>0.44400000000000001</v>
      </c>
      <c r="D156" s="127">
        <v>0.45600000000000002</v>
      </c>
      <c r="E156" s="117">
        <v>0.442</v>
      </c>
      <c r="F156" s="128">
        <v>0.432</v>
      </c>
      <c r="G156" s="117">
        <v>0.44600000000000001</v>
      </c>
      <c r="H156" s="117">
        <v>0.42599999999999999</v>
      </c>
    </row>
    <row r="157" spans="1:8" ht="16.5" thickTop="1" thickBot="1" x14ac:dyDescent="0.4">
      <c r="A157" s="293"/>
      <c r="B157" s="123" t="s">
        <v>35</v>
      </c>
      <c r="C157" s="124">
        <v>192.1</v>
      </c>
      <c r="D157" s="124">
        <v>193.5</v>
      </c>
      <c r="E157" s="125">
        <v>190.2</v>
      </c>
      <c r="F157" s="126">
        <v>190</v>
      </c>
      <c r="G157" s="125">
        <v>197.7</v>
      </c>
      <c r="H157" s="125">
        <v>204.4</v>
      </c>
    </row>
    <row r="159" spans="1:8" ht="16" thickBot="1" x14ac:dyDescent="0.4">
      <c r="A159" s="129" t="s">
        <v>113</v>
      </c>
    </row>
    <row r="160" spans="1:8" ht="16.5" thickTop="1" thickBot="1" x14ac:dyDescent="0.4">
      <c r="A160" s="295">
        <v>13</v>
      </c>
      <c r="B160" s="130" t="s">
        <v>36</v>
      </c>
      <c r="C160" s="324"/>
      <c r="D160" s="325"/>
      <c r="E160" s="325"/>
      <c r="F160" s="325"/>
      <c r="G160" s="325"/>
      <c r="H160" s="326"/>
    </row>
    <row r="161" spans="1:8" ht="16" thickBot="1" x14ac:dyDescent="0.4">
      <c r="A161" s="314"/>
      <c r="B161" s="121" t="s">
        <v>31</v>
      </c>
      <c r="C161" s="127">
        <v>18.010000000000002</v>
      </c>
      <c r="D161" s="127">
        <v>17.760000000000002</v>
      </c>
      <c r="E161" s="117">
        <v>27.69</v>
      </c>
      <c r="F161" s="117">
        <v>33.33</v>
      </c>
      <c r="G161" s="117">
        <v>0</v>
      </c>
      <c r="H161" s="117">
        <v>0</v>
      </c>
    </row>
    <row r="162" spans="1:8" ht="16.5" thickTop="1" thickBot="1" x14ac:dyDescent="0.4">
      <c r="A162" s="314"/>
      <c r="B162" s="121" t="s">
        <v>26</v>
      </c>
      <c r="C162" s="127">
        <v>0.1754</v>
      </c>
      <c r="D162" s="127">
        <v>0.1883</v>
      </c>
      <c r="E162" s="117">
        <v>0.1148</v>
      </c>
      <c r="F162" s="117">
        <v>8.9300000000000004E-2</v>
      </c>
      <c r="G162" s="121">
        <v>0.1787</v>
      </c>
      <c r="H162" s="121">
        <v>0.1714</v>
      </c>
    </row>
    <row r="163" spans="1:8" ht="16.5" thickTop="1" thickBot="1" x14ac:dyDescent="0.4">
      <c r="A163" s="294"/>
      <c r="B163" s="121" t="s">
        <v>27</v>
      </c>
      <c r="C163" s="127">
        <v>119.4</v>
      </c>
      <c r="D163" s="127">
        <v>122.2</v>
      </c>
      <c r="E163" s="117">
        <v>103.5</v>
      </c>
      <c r="F163" s="117">
        <v>96.5</v>
      </c>
      <c r="G163" s="118">
        <v>120.2</v>
      </c>
      <c r="H163" s="118">
        <v>126.3</v>
      </c>
    </row>
    <row r="164" spans="1:8" ht="16.5" thickTop="1" thickBot="1" x14ac:dyDescent="0.4">
      <c r="A164" s="295">
        <v>14</v>
      </c>
      <c r="B164" s="121" t="s">
        <v>37</v>
      </c>
      <c r="C164" s="308"/>
      <c r="D164" s="309"/>
      <c r="E164" s="309"/>
      <c r="F164" s="309"/>
      <c r="G164" s="309"/>
      <c r="H164" s="310"/>
    </row>
    <row r="165" spans="1:8" ht="16.5" thickTop="1" thickBot="1" x14ac:dyDescent="0.4">
      <c r="A165" s="314"/>
      <c r="B165" s="121" t="s">
        <v>31</v>
      </c>
      <c r="C165" s="127">
        <v>41.78</v>
      </c>
      <c r="D165" s="127">
        <v>43.39</v>
      </c>
      <c r="E165" s="117">
        <v>35.89</v>
      </c>
      <c r="F165" s="117">
        <v>29.72</v>
      </c>
      <c r="G165" s="118">
        <v>46.07</v>
      </c>
      <c r="H165" s="118">
        <v>46.55</v>
      </c>
    </row>
    <row r="166" spans="1:8" ht="16.5" thickTop="1" thickBot="1" x14ac:dyDescent="0.4">
      <c r="A166" s="314"/>
      <c r="B166" s="121" t="s">
        <v>26</v>
      </c>
      <c r="C166" s="127">
        <v>0.12839999999999999</v>
      </c>
      <c r="D166" s="127">
        <v>0.1452</v>
      </c>
      <c r="E166" s="117">
        <v>6.0600000000000001E-2</v>
      </c>
      <c r="F166" s="117">
        <v>3.9800000000000002E-2</v>
      </c>
      <c r="G166" s="121">
        <v>5.21E-2</v>
      </c>
      <c r="H166" s="121">
        <v>5.1700000000000003E-2</v>
      </c>
    </row>
    <row r="167" spans="1:8" ht="16.5" thickTop="1" thickBot="1" x14ac:dyDescent="0.4">
      <c r="A167" s="293"/>
      <c r="B167" s="123" t="s">
        <v>27</v>
      </c>
      <c r="C167" s="124">
        <v>106.7</v>
      </c>
      <c r="D167" s="124">
        <v>110.4</v>
      </c>
      <c r="E167" s="125">
        <v>86.2</v>
      </c>
      <c r="F167" s="125">
        <v>75.8</v>
      </c>
      <c r="G167" s="131">
        <v>82.3</v>
      </c>
      <c r="H167" s="131">
        <v>82.14</v>
      </c>
    </row>
    <row r="168" spans="1:8" ht="16" thickBot="1" x14ac:dyDescent="0.4">
      <c r="A168" s="292">
        <v>15</v>
      </c>
      <c r="B168" s="121" t="s">
        <v>38</v>
      </c>
      <c r="C168" s="318"/>
      <c r="D168" s="319"/>
      <c r="E168" s="319"/>
      <c r="F168" s="319"/>
      <c r="G168" s="319"/>
      <c r="H168" s="320"/>
    </row>
    <row r="169" spans="1:8" ht="16.5" thickTop="1" thickBot="1" x14ac:dyDescent="0.4">
      <c r="A169" s="314"/>
      <c r="B169" s="121" t="s">
        <v>31</v>
      </c>
      <c r="C169" s="127">
        <v>4.4400000000000004</v>
      </c>
      <c r="D169" s="127">
        <v>4.4400000000000004</v>
      </c>
      <c r="E169" s="117">
        <v>4.4400000000000004</v>
      </c>
      <c r="F169" s="117">
        <v>4.4400000000000004</v>
      </c>
      <c r="G169" s="118">
        <v>18.84</v>
      </c>
      <c r="H169" s="118">
        <v>16</v>
      </c>
    </row>
    <row r="170" spans="1:8" ht="16.5" thickTop="1" thickBot="1" x14ac:dyDescent="0.4">
      <c r="A170" s="314"/>
      <c r="B170" s="121" t="s">
        <v>27</v>
      </c>
      <c r="C170" s="127">
        <v>90.9</v>
      </c>
      <c r="D170" s="127">
        <v>93.3</v>
      </c>
      <c r="E170" s="117">
        <v>35.08</v>
      </c>
      <c r="F170" s="117">
        <v>35.369999999999997</v>
      </c>
      <c r="G170" s="118">
        <v>63</v>
      </c>
      <c r="H170" s="118">
        <v>61.89</v>
      </c>
    </row>
    <row r="171" spans="1:8" ht="16.5" thickTop="1" thickBot="1" x14ac:dyDescent="0.4">
      <c r="A171" s="314"/>
      <c r="B171" s="121" t="s">
        <v>114</v>
      </c>
      <c r="C171" s="127">
        <v>104.3</v>
      </c>
      <c r="D171" s="127">
        <v>104.5</v>
      </c>
      <c r="E171" s="117" t="s">
        <v>115</v>
      </c>
      <c r="F171" s="117" t="s">
        <v>116</v>
      </c>
      <c r="G171" s="118" t="s">
        <v>117</v>
      </c>
      <c r="H171" s="118" t="s">
        <v>118</v>
      </c>
    </row>
    <row r="172" spans="1:8" ht="16.5" thickTop="1" thickBot="1" x14ac:dyDescent="0.4">
      <c r="A172" s="314"/>
      <c r="B172" s="121" t="s">
        <v>119</v>
      </c>
      <c r="C172" s="127">
        <v>833.3</v>
      </c>
      <c r="D172" s="127">
        <v>833.3</v>
      </c>
      <c r="E172" s="117">
        <v>833.3</v>
      </c>
      <c r="F172" s="117">
        <v>833.3</v>
      </c>
      <c r="G172" s="118">
        <v>833.3</v>
      </c>
      <c r="H172" s="118">
        <v>833.3</v>
      </c>
    </row>
    <row r="173" spans="1:8" ht="16.5" thickTop="1" thickBot="1" x14ac:dyDescent="0.4">
      <c r="A173" s="314"/>
      <c r="B173" s="132" t="s">
        <v>49</v>
      </c>
      <c r="C173" s="127">
        <v>111.4</v>
      </c>
      <c r="D173" s="127">
        <v>111.8</v>
      </c>
      <c r="E173" s="117">
        <v>115.2</v>
      </c>
      <c r="F173" s="117">
        <v>116.4</v>
      </c>
      <c r="G173" s="118">
        <v>118.6</v>
      </c>
      <c r="H173" s="118">
        <v>118.2</v>
      </c>
    </row>
    <row r="174" spans="1:8" ht="16.5" thickTop="1" thickBot="1" x14ac:dyDescent="0.4">
      <c r="A174" s="314"/>
      <c r="B174" s="133" t="s">
        <v>50</v>
      </c>
      <c r="C174" s="124">
        <v>60</v>
      </c>
      <c r="D174" s="124">
        <v>56.7</v>
      </c>
      <c r="E174" s="125">
        <v>33.299999999999997</v>
      </c>
      <c r="F174" s="125">
        <v>25</v>
      </c>
      <c r="G174" s="131">
        <v>10</v>
      </c>
      <c r="H174" s="131">
        <v>12.5</v>
      </c>
    </row>
    <row r="175" spans="1:8" ht="16" thickBot="1" x14ac:dyDescent="0.4">
      <c r="A175" s="314"/>
      <c r="B175" s="121" t="s">
        <v>120</v>
      </c>
      <c r="C175" s="127">
        <v>111.5</v>
      </c>
      <c r="D175" s="127">
        <v>112.3</v>
      </c>
      <c r="E175" s="117">
        <v>97.9</v>
      </c>
      <c r="F175" s="117">
        <v>90.2</v>
      </c>
      <c r="G175" s="118">
        <v>72</v>
      </c>
      <c r="H175" s="118">
        <v>72.900000000000006</v>
      </c>
    </row>
    <row r="176" spans="1:8" ht="16.5" thickTop="1" thickBot="1" x14ac:dyDescent="0.4">
      <c r="A176" s="294"/>
      <c r="B176" s="121" t="s">
        <v>121</v>
      </c>
      <c r="C176" s="127">
        <v>69</v>
      </c>
      <c r="D176" s="127">
        <v>69</v>
      </c>
      <c r="E176" s="117">
        <v>53.1</v>
      </c>
      <c r="F176" s="117">
        <v>46</v>
      </c>
      <c r="G176" s="118">
        <v>40</v>
      </c>
      <c r="H176" s="118">
        <v>40</v>
      </c>
    </row>
    <row r="177" spans="1:8" ht="16.5" thickTop="1" thickBot="1" x14ac:dyDescent="0.4">
      <c r="A177" s="295">
        <v>16</v>
      </c>
      <c r="B177" s="121" t="s">
        <v>53</v>
      </c>
      <c r="C177" s="308"/>
      <c r="D177" s="309"/>
      <c r="E177" s="309"/>
      <c r="F177" s="309"/>
      <c r="G177" s="309"/>
      <c r="H177" s="310"/>
    </row>
    <row r="178" spans="1:8" ht="16.5" thickTop="1" thickBot="1" x14ac:dyDescent="0.4">
      <c r="A178" s="314"/>
      <c r="B178" s="121" t="s">
        <v>31</v>
      </c>
      <c r="C178" s="127">
        <v>4.4400000000000004</v>
      </c>
      <c r="D178" s="127">
        <v>4.4400000000000004</v>
      </c>
      <c r="E178" s="117">
        <v>4.4400000000000004</v>
      </c>
      <c r="F178" s="117">
        <v>4.4400000000000004</v>
      </c>
      <c r="G178" s="118">
        <v>18.84</v>
      </c>
      <c r="H178" s="118">
        <v>16</v>
      </c>
    </row>
    <row r="179" spans="1:8" ht="16.5" thickTop="1" thickBot="1" x14ac:dyDescent="0.4">
      <c r="A179" s="314"/>
      <c r="B179" s="121" t="s">
        <v>26</v>
      </c>
      <c r="C179" s="127">
        <v>1.8E-3</v>
      </c>
      <c r="D179" s="127">
        <v>2.0999999999999999E-3</v>
      </c>
      <c r="E179" s="117">
        <v>2.3999999999999998E-3</v>
      </c>
      <c r="F179" s="117">
        <v>2.7000000000000001E-3</v>
      </c>
      <c r="G179" s="121">
        <v>5.0000000000000001E-3</v>
      </c>
      <c r="H179" s="121">
        <v>1.06E-2</v>
      </c>
    </row>
    <row r="180" spans="1:8" ht="16.5" thickTop="1" thickBot="1" x14ac:dyDescent="0.4">
      <c r="A180" s="294"/>
      <c r="B180" s="121" t="s">
        <v>122</v>
      </c>
      <c r="C180" s="127">
        <v>100.2</v>
      </c>
      <c r="D180" s="127">
        <v>100.8</v>
      </c>
      <c r="E180" s="117" t="s">
        <v>123</v>
      </c>
      <c r="F180" s="117" t="s">
        <v>124</v>
      </c>
      <c r="G180" s="118" t="s">
        <v>125</v>
      </c>
      <c r="H180" s="118" t="s">
        <v>126</v>
      </c>
    </row>
    <row r="181" spans="1:8" ht="16" thickTop="1" thickBot="1" x14ac:dyDescent="0.4">
      <c r="A181" s="302" t="s">
        <v>63</v>
      </c>
      <c r="B181" s="303"/>
      <c r="C181" s="303"/>
      <c r="D181" s="303"/>
      <c r="E181" s="303"/>
      <c r="F181" s="303"/>
      <c r="G181" s="303"/>
      <c r="H181" s="304"/>
    </row>
    <row r="182" spans="1:8" ht="16.5" thickTop="1" thickBot="1" x14ac:dyDescent="0.4">
      <c r="A182" s="134">
        <v>17</v>
      </c>
      <c r="B182" s="121" t="s">
        <v>26</v>
      </c>
      <c r="C182" s="127">
        <v>1.8E-3</v>
      </c>
      <c r="D182" s="127">
        <v>2.0999999999999999E-3</v>
      </c>
      <c r="E182" s="117">
        <v>2.3999999999999998E-3</v>
      </c>
      <c r="F182" s="117">
        <v>2.7000000000000001E-3</v>
      </c>
      <c r="G182" s="121">
        <v>5.0000000000000001E-3</v>
      </c>
      <c r="H182" s="121">
        <v>1.06E-2</v>
      </c>
    </row>
    <row r="183" spans="1:8" ht="16.5" thickTop="1" thickBot="1" x14ac:dyDescent="0.4">
      <c r="A183" s="134">
        <v>18</v>
      </c>
      <c r="B183" s="121" t="s">
        <v>64</v>
      </c>
      <c r="C183" s="127">
        <v>15.26</v>
      </c>
      <c r="D183" s="127">
        <v>18.260000000000002</v>
      </c>
      <c r="E183" s="117">
        <v>20.190000000000001</v>
      </c>
      <c r="F183" s="117">
        <v>22.15</v>
      </c>
      <c r="G183" s="118">
        <v>32.950000000000003</v>
      </c>
      <c r="H183" s="118">
        <v>46.79</v>
      </c>
    </row>
    <row r="184" spans="1:8" ht="16.5" thickTop="1" thickBot="1" x14ac:dyDescent="0.4">
      <c r="A184" s="134">
        <v>19</v>
      </c>
      <c r="B184" s="121" t="s">
        <v>65</v>
      </c>
      <c r="C184" s="127">
        <v>3611</v>
      </c>
      <c r="D184" s="127">
        <v>3611</v>
      </c>
      <c r="E184" s="117">
        <v>3611</v>
      </c>
      <c r="F184" s="117">
        <v>3611</v>
      </c>
      <c r="G184" s="118">
        <v>3611</v>
      </c>
      <c r="H184" s="118">
        <v>3611</v>
      </c>
    </row>
    <row r="185" spans="1:8" ht="16.5" thickTop="1" thickBot="1" x14ac:dyDescent="0.4">
      <c r="A185" s="135">
        <v>20</v>
      </c>
      <c r="B185" s="123" t="s">
        <v>127</v>
      </c>
      <c r="C185" s="124">
        <v>13</v>
      </c>
      <c r="D185" s="124">
        <v>16</v>
      </c>
      <c r="E185" s="125">
        <v>18</v>
      </c>
      <c r="F185" s="125">
        <v>20</v>
      </c>
      <c r="G185" s="136">
        <v>25</v>
      </c>
      <c r="H185" s="136">
        <v>40</v>
      </c>
    </row>
    <row r="186" spans="1:8" ht="16" thickBot="1" x14ac:dyDescent="0.4">
      <c r="A186" s="134">
        <v>21</v>
      </c>
      <c r="B186" s="121" t="s">
        <v>128</v>
      </c>
      <c r="C186" s="127">
        <v>13.8</v>
      </c>
      <c r="D186" s="127">
        <v>16.8</v>
      </c>
      <c r="E186" s="117">
        <v>18.8</v>
      </c>
      <c r="F186" s="117">
        <v>20.8</v>
      </c>
      <c r="G186" s="118">
        <v>25.8</v>
      </c>
      <c r="H186" s="118">
        <v>40.799999999999997</v>
      </c>
    </row>
    <row r="187" spans="1:8" ht="18" thickTop="1" x14ac:dyDescent="0.35">
      <c r="A187" s="289">
        <v>22</v>
      </c>
      <c r="B187" s="59" t="s">
        <v>129</v>
      </c>
      <c r="C187" s="137"/>
      <c r="D187" s="138"/>
      <c r="E187" s="119"/>
      <c r="F187" s="139"/>
      <c r="G187" s="119"/>
      <c r="H187" s="119"/>
    </row>
    <row r="188" spans="1:8" ht="16" thickBot="1" x14ac:dyDescent="0.4">
      <c r="A188" s="288"/>
      <c r="B188" s="121" t="s">
        <v>130</v>
      </c>
      <c r="C188" s="127">
        <v>27.2</v>
      </c>
      <c r="D188" s="127">
        <v>30.5</v>
      </c>
      <c r="E188" s="117">
        <v>32.6</v>
      </c>
      <c r="F188" s="117">
        <v>34.44</v>
      </c>
      <c r="G188" s="118">
        <v>36.200000000000003</v>
      </c>
      <c r="H188" s="118">
        <v>56.9</v>
      </c>
    </row>
    <row r="189" spans="1:8" ht="16.5" thickTop="1" thickBot="1" x14ac:dyDescent="0.4">
      <c r="A189" s="134">
        <v>23</v>
      </c>
      <c r="B189" s="121" t="s">
        <v>131</v>
      </c>
      <c r="C189" s="127">
        <v>82.5</v>
      </c>
      <c r="D189" s="127">
        <v>86.8</v>
      </c>
      <c r="E189" s="117">
        <v>62.2</v>
      </c>
      <c r="F189" s="117">
        <v>57.1</v>
      </c>
      <c r="G189" s="118">
        <v>54</v>
      </c>
      <c r="H189" s="118">
        <v>54</v>
      </c>
    </row>
    <row r="190" spans="1:8" ht="18" thickTop="1" x14ac:dyDescent="0.35">
      <c r="A190" s="289">
        <v>24</v>
      </c>
      <c r="B190" s="59" t="s">
        <v>132</v>
      </c>
      <c r="C190" s="137"/>
      <c r="D190" s="138"/>
      <c r="E190" s="119"/>
      <c r="F190" s="119"/>
      <c r="G190" s="139"/>
      <c r="H190" s="139"/>
    </row>
    <row r="191" spans="1:8" ht="16" thickBot="1" x14ac:dyDescent="0.4">
      <c r="A191" s="288"/>
      <c r="B191" s="121" t="s">
        <v>72</v>
      </c>
      <c r="C191" s="127">
        <v>78.3</v>
      </c>
      <c r="D191" s="127">
        <v>82.6</v>
      </c>
      <c r="E191" s="117">
        <v>60</v>
      </c>
      <c r="F191" s="117">
        <v>55.4</v>
      </c>
      <c r="G191" s="118">
        <v>48.8</v>
      </c>
      <c r="H191" s="118">
        <v>54.4</v>
      </c>
    </row>
    <row r="192" spans="1:8" ht="18" thickTop="1" x14ac:dyDescent="0.35">
      <c r="A192" s="289">
        <v>25</v>
      </c>
      <c r="B192" s="59" t="s">
        <v>133</v>
      </c>
      <c r="C192" s="137"/>
      <c r="D192" s="138"/>
      <c r="E192" s="119"/>
      <c r="F192" s="139"/>
      <c r="G192" s="119"/>
      <c r="H192" s="119"/>
    </row>
    <row r="193" spans="1:8" ht="16" thickBot="1" x14ac:dyDescent="0.4">
      <c r="A193" s="288"/>
      <c r="B193" s="121" t="s">
        <v>76</v>
      </c>
      <c r="C193" s="127">
        <v>64.78</v>
      </c>
      <c r="D193" s="127">
        <v>66.150000000000006</v>
      </c>
      <c r="E193" s="117">
        <v>68.58</v>
      </c>
      <c r="F193" s="117">
        <v>68.06</v>
      </c>
      <c r="G193" s="118">
        <v>65.48</v>
      </c>
      <c r="H193" s="118">
        <v>62.1</v>
      </c>
    </row>
    <row r="194" spans="1:8" ht="18" thickTop="1" x14ac:dyDescent="0.35">
      <c r="A194" s="289">
        <v>26</v>
      </c>
      <c r="B194" s="59" t="s">
        <v>75</v>
      </c>
      <c r="C194" s="137"/>
      <c r="D194" s="138"/>
      <c r="E194" s="119"/>
      <c r="F194" s="139"/>
      <c r="G194" s="119"/>
      <c r="H194" s="119"/>
    </row>
    <row r="195" spans="1:8" ht="16" thickBot="1" x14ac:dyDescent="0.4">
      <c r="A195" s="288"/>
      <c r="B195" s="121" t="s">
        <v>76</v>
      </c>
      <c r="C195" s="127">
        <v>99.14</v>
      </c>
      <c r="D195" s="127">
        <v>102.53</v>
      </c>
      <c r="E195" s="117">
        <v>93.83</v>
      </c>
      <c r="F195" s="117">
        <v>91.5</v>
      </c>
      <c r="G195" s="118">
        <v>85.58</v>
      </c>
      <c r="H195" s="118">
        <v>79.48</v>
      </c>
    </row>
    <row r="196" spans="1:8" ht="18" thickTop="1" x14ac:dyDescent="0.35">
      <c r="A196" s="289">
        <v>27</v>
      </c>
      <c r="B196" s="59" t="s">
        <v>134</v>
      </c>
      <c r="C196" s="137"/>
      <c r="D196" s="138"/>
      <c r="E196" s="119"/>
      <c r="F196" s="139"/>
      <c r="G196" s="119"/>
      <c r="H196" s="119"/>
    </row>
    <row r="197" spans="1:8" ht="16" thickBot="1" x14ac:dyDescent="0.4">
      <c r="A197" s="288"/>
      <c r="B197" s="121" t="s">
        <v>135</v>
      </c>
      <c r="C197" s="127">
        <v>34.36</v>
      </c>
      <c r="D197" s="127">
        <v>36.39</v>
      </c>
      <c r="E197" s="117">
        <v>25.24</v>
      </c>
      <c r="F197" s="117">
        <v>23.44</v>
      </c>
      <c r="G197" s="128">
        <v>20.100000000000001</v>
      </c>
      <c r="H197" s="128">
        <v>17.38</v>
      </c>
    </row>
    <row r="198" spans="1:8" ht="18" thickTop="1" x14ac:dyDescent="0.35">
      <c r="A198" s="289">
        <v>28</v>
      </c>
      <c r="B198" s="59" t="s">
        <v>136</v>
      </c>
      <c r="C198" s="137"/>
      <c r="D198" s="138"/>
      <c r="E198" s="119"/>
      <c r="F198" s="139"/>
      <c r="G198" s="119"/>
      <c r="H198" s="119"/>
    </row>
    <row r="199" spans="1:8" ht="16" thickBot="1" x14ac:dyDescent="0.4">
      <c r="A199" s="290"/>
      <c r="B199" s="123" t="s">
        <v>137</v>
      </c>
      <c r="C199" s="124">
        <v>80</v>
      </c>
      <c r="D199" s="124">
        <v>83.5</v>
      </c>
      <c r="E199" s="125">
        <v>63.8</v>
      </c>
      <c r="F199" s="125">
        <v>60</v>
      </c>
      <c r="G199" s="126">
        <v>60</v>
      </c>
      <c r="H199" s="126">
        <v>60</v>
      </c>
    </row>
    <row r="200" spans="1:8" ht="17.5" x14ac:dyDescent="0.35">
      <c r="A200" s="287">
        <v>29</v>
      </c>
      <c r="B200" s="59" t="s">
        <v>129</v>
      </c>
      <c r="C200" s="349">
        <v>146.30000000000001</v>
      </c>
      <c r="D200" s="138"/>
      <c r="E200" s="119"/>
      <c r="F200" s="119"/>
      <c r="G200" s="119"/>
      <c r="H200" s="119"/>
    </row>
    <row r="201" spans="1:8" ht="16" thickBot="1" x14ac:dyDescent="0.4">
      <c r="A201" s="288"/>
      <c r="B201" s="121" t="s">
        <v>138</v>
      </c>
      <c r="C201" s="333"/>
      <c r="D201" s="127">
        <v>147</v>
      </c>
      <c r="E201" s="117">
        <v>146.5</v>
      </c>
      <c r="F201" s="117">
        <v>145.6</v>
      </c>
      <c r="G201" s="118">
        <v>145.9</v>
      </c>
      <c r="H201" s="118">
        <v>143.30000000000001</v>
      </c>
    </row>
    <row r="202" spans="1:8" ht="16.5" thickTop="1" thickBot="1" x14ac:dyDescent="0.4">
      <c r="A202" s="134">
        <v>30</v>
      </c>
      <c r="B202" s="121" t="s">
        <v>139</v>
      </c>
      <c r="C202" s="127">
        <v>166.2</v>
      </c>
      <c r="D202" s="127">
        <v>166.2</v>
      </c>
      <c r="E202" s="117">
        <v>166.3</v>
      </c>
      <c r="F202" s="117">
        <v>166.3</v>
      </c>
      <c r="G202" s="118">
        <v>166.2</v>
      </c>
      <c r="H202" s="118">
        <v>166.2</v>
      </c>
    </row>
    <row r="203" spans="1:8" ht="16.5" thickTop="1" thickBot="1" x14ac:dyDescent="0.4">
      <c r="A203" s="140">
        <v>31</v>
      </c>
      <c r="B203" s="141" t="s">
        <v>83</v>
      </c>
      <c r="C203" s="142">
        <v>285.10000000000002</v>
      </c>
      <c r="D203" s="142">
        <v>286.2</v>
      </c>
      <c r="E203" s="143">
        <v>288.60000000000002</v>
      </c>
      <c r="F203" s="143">
        <v>288.10000000000002</v>
      </c>
      <c r="G203" s="143">
        <v>285.8</v>
      </c>
      <c r="H203" s="143">
        <v>282.39999999999998</v>
      </c>
    </row>
    <row r="204" spans="1:8" ht="16.5" thickTop="1" thickBot="1" x14ac:dyDescent="0.4">
      <c r="A204" s="134">
        <v>32</v>
      </c>
      <c r="B204" s="121" t="s">
        <v>84</v>
      </c>
      <c r="C204" s="127">
        <v>7.0529999999999999</v>
      </c>
      <c r="D204" s="127">
        <v>7.2409999999999997</v>
      </c>
      <c r="E204" s="117">
        <v>7.5389999999999997</v>
      </c>
      <c r="F204" s="117">
        <v>7.5</v>
      </c>
      <c r="G204" s="117">
        <v>7.3150000000000004</v>
      </c>
      <c r="H204" s="117">
        <v>7.0839999999999996</v>
      </c>
    </row>
    <row r="205" spans="1:8" ht="16.5" thickTop="1" thickBot="1" x14ac:dyDescent="0.4">
      <c r="A205" s="134">
        <v>33</v>
      </c>
      <c r="B205" s="121" t="s">
        <v>85</v>
      </c>
      <c r="C205" s="127">
        <v>0.56100000000000005</v>
      </c>
      <c r="D205" s="127">
        <v>0.57299999999999995</v>
      </c>
      <c r="E205" s="117">
        <v>0.56499999999999995</v>
      </c>
      <c r="F205" s="117">
        <v>0.55500000000000005</v>
      </c>
      <c r="G205" s="117">
        <v>0.55600000000000005</v>
      </c>
      <c r="H205" s="117">
        <v>0.52400000000000002</v>
      </c>
    </row>
    <row r="206" spans="1:8" ht="16" thickTop="1" thickBot="1" x14ac:dyDescent="0.4">
      <c r="A206" s="302" t="s">
        <v>86</v>
      </c>
      <c r="B206" s="303"/>
      <c r="C206" s="303"/>
      <c r="D206" s="303"/>
      <c r="E206" s="303"/>
      <c r="F206" s="303"/>
      <c r="G206" s="303"/>
      <c r="H206" s="304"/>
    </row>
    <row r="207" spans="1:8" ht="16.5" thickTop="1" thickBot="1" x14ac:dyDescent="0.4">
      <c r="A207" s="134">
        <v>34</v>
      </c>
      <c r="B207" s="121" t="s">
        <v>87</v>
      </c>
      <c r="C207" s="127">
        <v>127.3</v>
      </c>
      <c r="D207" s="127">
        <v>127.3</v>
      </c>
      <c r="E207" s="117">
        <v>127.3</v>
      </c>
      <c r="F207" s="117">
        <v>123.6</v>
      </c>
      <c r="G207" s="117">
        <v>111.9</v>
      </c>
      <c r="H207" s="117">
        <v>96.9</v>
      </c>
    </row>
    <row r="208" spans="1:8" ht="16.5" thickTop="1" thickBot="1" x14ac:dyDescent="0.4">
      <c r="A208" s="134">
        <v>35</v>
      </c>
      <c r="B208" s="121" t="s">
        <v>88</v>
      </c>
      <c r="C208" s="127">
        <v>40.119999999999997</v>
      </c>
      <c r="D208" s="127">
        <v>40.94</v>
      </c>
      <c r="E208" s="117">
        <v>48.67</v>
      </c>
      <c r="F208" s="117">
        <v>50.55</v>
      </c>
      <c r="G208" s="117">
        <v>52.9</v>
      </c>
      <c r="H208" s="117">
        <v>49.79</v>
      </c>
    </row>
    <row r="209" spans="1:8" ht="16.5" thickTop="1" thickBot="1" x14ac:dyDescent="0.4">
      <c r="A209" s="134">
        <v>36</v>
      </c>
      <c r="B209" s="121" t="s">
        <v>89</v>
      </c>
      <c r="C209" s="127">
        <v>167.42</v>
      </c>
      <c r="D209" s="127">
        <v>168.2</v>
      </c>
      <c r="E209" s="117">
        <v>176</v>
      </c>
      <c r="F209" s="117">
        <v>174.2</v>
      </c>
      <c r="G209" s="117">
        <v>164.8</v>
      </c>
      <c r="H209" s="117">
        <v>146.69999999999999</v>
      </c>
    </row>
    <row r="210" spans="1:8" ht="16.5" thickTop="1" thickBot="1" x14ac:dyDescent="0.4">
      <c r="A210" s="295">
        <v>37</v>
      </c>
      <c r="B210" s="121" t="s">
        <v>140</v>
      </c>
      <c r="C210" s="127">
        <v>93.52</v>
      </c>
      <c r="D210" s="127">
        <v>96.54</v>
      </c>
      <c r="E210" s="117">
        <v>80.98</v>
      </c>
      <c r="F210" s="117">
        <v>68.239999999999995</v>
      </c>
      <c r="G210" s="117">
        <v>101.88</v>
      </c>
      <c r="H210" s="117">
        <v>104.1</v>
      </c>
    </row>
    <row r="211" spans="1:8" ht="16.5" thickTop="1" thickBot="1" x14ac:dyDescent="0.4">
      <c r="A211" s="294"/>
      <c r="B211" s="128" t="s">
        <v>91</v>
      </c>
      <c r="C211" s="127">
        <v>80.430000000000007</v>
      </c>
      <c r="D211" s="127">
        <v>83.02</v>
      </c>
      <c r="E211" s="117">
        <v>69.64</v>
      </c>
      <c r="F211" s="117">
        <v>58.69</v>
      </c>
      <c r="G211" s="117">
        <v>87.62</v>
      </c>
      <c r="H211" s="117">
        <v>87.32</v>
      </c>
    </row>
    <row r="212" spans="1:8" ht="16.5" thickTop="1" thickBot="1" x14ac:dyDescent="0.4">
      <c r="A212" s="295">
        <v>38</v>
      </c>
      <c r="B212" s="121" t="s">
        <v>141</v>
      </c>
      <c r="C212" s="127">
        <v>39.979999999999997</v>
      </c>
      <c r="D212" s="127">
        <v>39.33</v>
      </c>
      <c r="E212" s="117">
        <v>61.15</v>
      </c>
      <c r="F212" s="117">
        <v>73.64</v>
      </c>
      <c r="G212" s="117">
        <v>0</v>
      </c>
      <c r="H212" s="117">
        <v>0</v>
      </c>
    </row>
    <row r="213" spans="1:8" ht="16.5" thickTop="1" thickBot="1" x14ac:dyDescent="0.4">
      <c r="A213" s="294"/>
      <c r="B213" s="128" t="s">
        <v>91</v>
      </c>
      <c r="C213" s="127">
        <v>34.380000000000003</v>
      </c>
      <c r="D213" s="127">
        <v>33.82</v>
      </c>
      <c r="E213" s="117">
        <v>52.59</v>
      </c>
      <c r="F213" s="117">
        <v>63.33</v>
      </c>
      <c r="G213" s="117">
        <v>0</v>
      </c>
      <c r="H213" s="117">
        <v>0</v>
      </c>
    </row>
    <row r="214" spans="1:8" ht="16.5" thickTop="1" thickBot="1" x14ac:dyDescent="0.4">
      <c r="A214" s="295">
        <v>39</v>
      </c>
      <c r="B214" s="121" t="s">
        <v>142</v>
      </c>
      <c r="C214" s="127">
        <v>6.12</v>
      </c>
      <c r="D214" s="127">
        <v>6.08</v>
      </c>
      <c r="E214" s="117">
        <v>6.41</v>
      </c>
      <c r="F214" s="117">
        <v>4.95</v>
      </c>
      <c r="G214" s="117">
        <v>5.47</v>
      </c>
      <c r="H214" s="117">
        <v>5.49</v>
      </c>
    </row>
    <row r="215" spans="1:8" ht="16.5" thickTop="1" thickBot="1" x14ac:dyDescent="0.4">
      <c r="A215" s="294"/>
      <c r="B215" s="128" t="s">
        <v>91</v>
      </c>
      <c r="C215" s="127">
        <v>5.26</v>
      </c>
      <c r="D215" s="127">
        <v>5.23</v>
      </c>
      <c r="E215" s="117">
        <v>5.51</v>
      </c>
      <c r="F215" s="117">
        <v>4.26</v>
      </c>
      <c r="G215" s="117">
        <v>4.7</v>
      </c>
      <c r="H215" s="117">
        <v>4.72</v>
      </c>
    </row>
    <row r="216" spans="1:8" ht="16.5" thickTop="1" thickBot="1" x14ac:dyDescent="0.4">
      <c r="A216" s="295">
        <v>40</v>
      </c>
      <c r="B216" s="121" t="s">
        <v>143</v>
      </c>
      <c r="C216" s="127">
        <v>9.19</v>
      </c>
      <c r="D216" s="127">
        <v>9.5399999999999991</v>
      </c>
      <c r="E216" s="117">
        <v>7.74</v>
      </c>
      <c r="F216" s="117">
        <v>7.16</v>
      </c>
      <c r="G216" s="117">
        <v>4.22</v>
      </c>
      <c r="H216" s="117">
        <v>4.6500000000000004</v>
      </c>
    </row>
    <row r="217" spans="1:8" ht="16.5" thickTop="1" thickBot="1" x14ac:dyDescent="0.4">
      <c r="A217" s="294"/>
      <c r="B217" s="128" t="s">
        <v>91</v>
      </c>
      <c r="C217" s="127">
        <v>7.9</v>
      </c>
      <c r="D217" s="127">
        <v>8.1999999999999993</v>
      </c>
      <c r="E217" s="117">
        <v>6.66</v>
      </c>
      <c r="F217" s="117">
        <v>6.16</v>
      </c>
      <c r="G217" s="117">
        <v>3.63</v>
      </c>
      <c r="H217" s="117">
        <v>4</v>
      </c>
    </row>
    <row r="218" spans="1:8" ht="16.5" thickTop="1" thickBot="1" x14ac:dyDescent="0.4">
      <c r="A218" s="295">
        <v>41</v>
      </c>
      <c r="B218" s="121" t="s">
        <v>144</v>
      </c>
      <c r="C218" s="127">
        <v>128</v>
      </c>
      <c r="D218" s="127">
        <v>130.30000000000001</v>
      </c>
      <c r="E218" s="117">
        <v>134.4</v>
      </c>
      <c r="F218" s="117">
        <v>132.4</v>
      </c>
      <c r="G218" s="117">
        <v>95.95</v>
      </c>
      <c r="H218" s="117">
        <v>96.04</v>
      </c>
    </row>
    <row r="219" spans="1:8" ht="16.5" thickTop="1" thickBot="1" x14ac:dyDescent="0.4">
      <c r="A219" s="294"/>
      <c r="B219" s="128" t="s">
        <v>90</v>
      </c>
      <c r="C219" s="127">
        <v>148.81</v>
      </c>
      <c r="D219" s="127">
        <v>151.47999999999999</v>
      </c>
      <c r="E219" s="117">
        <v>156.28</v>
      </c>
      <c r="F219" s="117">
        <v>154</v>
      </c>
      <c r="G219" s="117">
        <v>111.57</v>
      </c>
      <c r="H219" s="117">
        <v>111.67</v>
      </c>
    </row>
    <row r="220" spans="1:8" ht="18" thickTop="1" x14ac:dyDescent="0.35">
      <c r="A220" s="144"/>
      <c r="B220" s="59" t="s">
        <v>145</v>
      </c>
      <c r="C220" s="137"/>
      <c r="D220" s="138"/>
      <c r="E220" s="119"/>
      <c r="F220" s="119"/>
      <c r="G220" s="119"/>
      <c r="H220" s="119"/>
    </row>
    <row r="221" spans="1:8" ht="16" thickBot="1" x14ac:dyDescent="0.4">
      <c r="A221" s="134">
        <v>42</v>
      </c>
      <c r="B221" s="121" t="s">
        <v>146</v>
      </c>
      <c r="C221" s="127">
        <v>48.53</v>
      </c>
      <c r="D221" s="127">
        <v>48.53</v>
      </c>
      <c r="E221" s="117">
        <v>48.65</v>
      </c>
      <c r="F221" s="117">
        <v>47.51</v>
      </c>
      <c r="G221" s="117">
        <v>43.95</v>
      </c>
      <c r="H221" s="117">
        <v>39.61</v>
      </c>
    </row>
    <row r="222" spans="1:8" ht="18" thickTop="1" x14ac:dyDescent="0.35">
      <c r="A222" s="289">
        <v>43</v>
      </c>
      <c r="B222" s="59" t="s">
        <v>94</v>
      </c>
      <c r="C222" s="137"/>
      <c r="D222" s="138"/>
      <c r="E222" s="119"/>
      <c r="F222" s="119"/>
      <c r="G222" s="119"/>
      <c r="H222" s="119"/>
    </row>
    <row r="223" spans="1:8" ht="16" thickBot="1" x14ac:dyDescent="0.4">
      <c r="A223" s="288"/>
      <c r="B223" s="121" t="s">
        <v>95</v>
      </c>
      <c r="C223" s="127">
        <v>150</v>
      </c>
      <c r="D223" s="127">
        <v>150</v>
      </c>
      <c r="E223" s="117">
        <v>150</v>
      </c>
      <c r="F223" s="117">
        <v>150</v>
      </c>
      <c r="G223" s="117">
        <v>150</v>
      </c>
      <c r="H223" s="117">
        <v>150</v>
      </c>
    </row>
    <row r="224" spans="1:8" ht="18" thickTop="1" x14ac:dyDescent="0.35">
      <c r="A224" s="289">
        <v>44</v>
      </c>
      <c r="B224" s="59" t="s">
        <v>147</v>
      </c>
      <c r="C224" s="138"/>
      <c r="D224" s="138"/>
      <c r="E224" s="119"/>
      <c r="F224" s="119"/>
      <c r="G224" s="119"/>
      <c r="H224" s="119"/>
    </row>
    <row r="225" spans="1:8" ht="16" thickBot="1" x14ac:dyDescent="0.4">
      <c r="A225" s="288"/>
      <c r="B225" s="121" t="s">
        <v>97</v>
      </c>
      <c r="C225" s="127">
        <v>19.2</v>
      </c>
      <c r="D225" s="127">
        <v>19.54</v>
      </c>
      <c r="E225" s="117">
        <v>20.16</v>
      </c>
      <c r="F225" s="117">
        <v>19.87</v>
      </c>
      <c r="G225" s="117">
        <v>14.39</v>
      </c>
      <c r="H225" s="117">
        <v>14.41</v>
      </c>
    </row>
    <row r="226" spans="1:8" ht="18" thickTop="1" x14ac:dyDescent="0.35">
      <c r="A226" s="289">
        <v>45</v>
      </c>
      <c r="B226" s="59" t="s">
        <v>147</v>
      </c>
      <c r="C226" s="138"/>
      <c r="D226" s="138"/>
      <c r="E226" s="119"/>
      <c r="F226" s="119"/>
      <c r="G226" s="119"/>
      <c r="H226" s="119"/>
    </row>
    <row r="227" spans="1:8" ht="16" thickBot="1" x14ac:dyDescent="0.4">
      <c r="A227" s="288"/>
      <c r="B227" s="121" t="s">
        <v>98</v>
      </c>
      <c r="C227" s="127">
        <v>29.33</v>
      </c>
      <c r="D227" s="127">
        <v>28.99</v>
      </c>
      <c r="E227" s="117">
        <v>28.49</v>
      </c>
      <c r="F227" s="117">
        <v>27.64</v>
      </c>
      <c r="G227" s="117">
        <v>29.56</v>
      </c>
      <c r="H227" s="117">
        <v>25.2</v>
      </c>
    </row>
    <row r="228" spans="1:8" ht="17" thickTop="1" x14ac:dyDescent="0.35">
      <c r="A228" s="289">
        <v>46</v>
      </c>
      <c r="B228" s="96"/>
      <c r="C228" s="137"/>
      <c r="D228" s="137"/>
      <c r="E228" s="139"/>
      <c r="F228" s="139"/>
      <c r="G228" s="139"/>
      <c r="H228" s="139"/>
    </row>
    <row r="229" spans="1:8" ht="31" x14ac:dyDescent="0.35">
      <c r="A229" s="291"/>
      <c r="B229" s="59" t="s">
        <v>148</v>
      </c>
      <c r="C229" s="145"/>
      <c r="D229" s="145"/>
      <c r="E229" s="146"/>
      <c r="F229" s="146"/>
      <c r="G229" s="146"/>
      <c r="H229" s="146"/>
    </row>
    <row r="230" spans="1:8" ht="16" thickBot="1" x14ac:dyDescent="0.4">
      <c r="A230" s="288"/>
      <c r="B230" s="147"/>
      <c r="C230" s="127">
        <v>175.2</v>
      </c>
      <c r="D230" s="127">
        <v>172.3</v>
      </c>
      <c r="E230" s="117">
        <v>161.9</v>
      </c>
      <c r="F230" s="117">
        <v>158.69999999999999</v>
      </c>
      <c r="G230" s="117">
        <v>179.4</v>
      </c>
      <c r="H230" s="117">
        <v>171.8</v>
      </c>
    </row>
    <row r="231" spans="1:8" ht="16.5" thickTop="1" thickBot="1" x14ac:dyDescent="0.4">
      <c r="A231" s="134">
        <v>47</v>
      </c>
      <c r="B231" s="121" t="s">
        <v>149</v>
      </c>
      <c r="C231" s="127">
        <v>70.13</v>
      </c>
      <c r="D231" s="127">
        <v>71.3</v>
      </c>
      <c r="E231" s="117">
        <v>75.88</v>
      </c>
      <c r="F231" s="117">
        <v>77.41</v>
      </c>
      <c r="G231" s="117">
        <v>68.52</v>
      </c>
      <c r="H231" s="117">
        <v>71.52</v>
      </c>
    </row>
    <row r="232" spans="1:8" ht="16.5" thickTop="1" thickBot="1" x14ac:dyDescent="0.4">
      <c r="A232" s="134">
        <v>48</v>
      </c>
      <c r="B232" s="121" t="s">
        <v>150</v>
      </c>
      <c r="C232" s="127">
        <v>0.52900000000000003</v>
      </c>
      <c r="D232" s="127">
        <v>0.52600000000000002</v>
      </c>
      <c r="E232" s="117">
        <v>0.53</v>
      </c>
      <c r="F232" s="117">
        <v>0.53100000000000003</v>
      </c>
      <c r="G232" s="117">
        <v>0.59599999999999997</v>
      </c>
      <c r="H232" s="117">
        <v>0.56799999999999995</v>
      </c>
    </row>
    <row r="233" spans="1:8" ht="15" thickTop="1" x14ac:dyDescent="0.35"/>
    <row r="234" spans="1:8" ht="15" x14ac:dyDescent="0.35">
      <c r="A234" s="113" t="s">
        <v>102</v>
      </c>
    </row>
    <row r="235" spans="1:8" ht="15" x14ac:dyDescent="0.35">
      <c r="A235" s="113" t="s">
        <v>151</v>
      </c>
    </row>
    <row r="236" spans="1:8" ht="16" thickBot="1" x14ac:dyDescent="0.4">
      <c r="A236" s="114" t="s">
        <v>152</v>
      </c>
    </row>
    <row r="237" spans="1:8" ht="16.5" thickTop="1" thickBot="1" x14ac:dyDescent="0.4">
      <c r="A237" s="115" t="s">
        <v>105</v>
      </c>
      <c r="B237" s="289" t="s">
        <v>1</v>
      </c>
      <c r="C237" s="338" t="s">
        <v>107</v>
      </c>
      <c r="D237" s="339"/>
      <c r="E237" s="339"/>
      <c r="F237" s="339"/>
      <c r="G237" s="339"/>
      <c r="H237" s="340"/>
    </row>
    <row r="238" spans="1:8" ht="16.5" thickTop="1" thickBot="1" x14ac:dyDescent="0.4">
      <c r="A238" s="116" t="s">
        <v>106</v>
      </c>
      <c r="B238" s="288"/>
      <c r="C238" s="117">
        <v>-40</v>
      </c>
      <c r="D238" s="117">
        <v>-28</v>
      </c>
      <c r="E238" s="117">
        <v>-10.199999999999999</v>
      </c>
      <c r="F238" s="118">
        <v>-3.1</v>
      </c>
      <c r="G238" s="117">
        <v>15</v>
      </c>
      <c r="H238" s="132">
        <v>37</v>
      </c>
    </row>
    <row r="239" spans="1:8" ht="18.5" thickTop="1" thickBot="1" x14ac:dyDescent="0.4">
      <c r="A239" s="341"/>
      <c r="B239" s="119"/>
      <c r="C239" s="343" t="s">
        <v>4</v>
      </c>
      <c r="D239" s="344"/>
      <c r="E239" s="344"/>
      <c r="F239" s="344"/>
      <c r="G239" s="344"/>
      <c r="H239" s="345"/>
    </row>
    <row r="240" spans="1:8" ht="16.5" thickTop="1" thickBot="1" x14ac:dyDescent="0.4">
      <c r="A240" s="342"/>
      <c r="B240" s="117" t="s">
        <v>3</v>
      </c>
      <c r="C240" s="346" t="s">
        <v>108</v>
      </c>
      <c r="D240" s="347"/>
      <c r="E240" s="347"/>
      <c r="F240" s="348"/>
      <c r="G240" s="79" t="s">
        <v>153</v>
      </c>
      <c r="H240" s="148" t="s">
        <v>153</v>
      </c>
    </row>
    <row r="241" spans="1:8" ht="16" thickTop="1" thickBot="1" x14ac:dyDescent="0.4">
      <c r="A241" s="302" t="s">
        <v>8</v>
      </c>
      <c r="B241" s="303"/>
      <c r="C241" s="303"/>
      <c r="D241" s="303"/>
      <c r="E241" s="303"/>
      <c r="F241" s="303"/>
      <c r="G241" s="303"/>
      <c r="H241" s="304"/>
    </row>
    <row r="242" spans="1:8" ht="16.5" thickTop="1" thickBot="1" x14ac:dyDescent="0.4">
      <c r="A242" s="120">
        <v>1</v>
      </c>
      <c r="B242" s="121" t="s">
        <v>9</v>
      </c>
      <c r="C242" s="327">
        <v>50</v>
      </c>
      <c r="D242" s="328"/>
      <c r="E242" s="328"/>
      <c r="F242" s="328"/>
      <c r="G242" s="328"/>
      <c r="H242" s="329"/>
    </row>
    <row r="243" spans="1:8" ht="16.5" thickTop="1" thickBot="1" x14ac:dyDescent="0.4">
      <c r="A243" s="122">
        <v>2</v>
      </c>
      <c r="B243" s="123" t="s">
        <v>10</v>
      </c>
      <c r="C243" s="124">
        <v>84.5</v>
      </c>
      <c r="D243" s="124">
        <v>84.5</v>
      </c>
      <c r="E243" s="125">
        <v>84.5</v>
      </c>
      <c r="F243" s="126">
        <v>82.6</v>
      </c>
      <c r="G243" s="125">
        <v>74.7</v>
      </c>
      <c r="H243" s="131">
        <v>64.5</v>
      </c>
    </row>
    <row r="244" spans="1:8" ht="16" thickBot="1" x14ac:dyDescent="0.4">
      <c r="A244" s="120">
        <v>3</v>
      </c>
      <c r="B244" s="121" t="s">
        <v>11</v>
      </c>
      <c r="C244" s="127">
        <v>27.83</v>
      </c>
      <c r="D244" s="127">
        <v>27.82</v>
      </c>
      <c r="E244" s="117">
        <v>27.79</v>
      </c>
      <c r="F244" s="128">
        <v>27.61</v>
      </c>
      <c r="G244" s="117">
        <v>27.02</v>
      </c>
      <c r="H244" s="128">
        <v>25.93</v>
      </c>
    </row>
    <row r="245" spans="1:8" ht="16" thickTop="1" x14ac:dyDescent="0.35">
      <c r="A245" s="330">
        <v>4</v>
      </c>
      <c r="B245" s="59" t="s">
        <v>12</v>
      </c>
      <c r="C245" s="332">
        <v>6.19</v>
      </c>
      <c r="D245" s="334">
        <v>6.19</v>
      </c>
      <c r="E245" s="336">
        <v>6.2</v>
      </c>
      <c r="F245" s="330">
        <v>6.09</v>
      </c>
      <c r="G245" s="289">
        <v>5.63</v>
      </c>
      <c r="H245" s="295">
        <v>5.07</v>
      </c>
    </row>
    <row r="246" spans="1:8" ht="16" thickBot="1" x14ac:dyDescent="0.4">
      <c r="A246" s="331"/>
      <c r="B246" s="121" t="s">
        <v>13</v>
      </c>
      <c r="C246" s="333"/>
      <c r="D246" s="335"/>
      <c r="E246" s="337"/>
      <c r="F246" s="331"/>
      <c r="G246" s="288"/>
      <c r="H246" s="294"/>
    </row>
    <row r="247" spans="1:8" ht="16.5" thickTop="1" thickBot="1" x14ac:dyDescent="0.4">
      <c r="A247" s="122">
        <v>5</v>
      </c>
      <c r="B247" s="123" t="s">
        <v>14</v>
      </c>
      <c r="C247" s="124">
        <v>357</v>
      </c>
      <c r="D247" s="124">
        <v>362</v>
      </c>
      <c r="E247" s="125">
        <v>370.2</v>
      </c>
      <c r="F247" s="126">
        <v>367.2</v>
      </c>
      <c r="G247" s="125">
        <v>347.7</v>
      </c>
      <c r="H247" s="126">
        <v>317.60000000000002</v>
      </c>
    </row>
    <row r="248" spans="1:8" ht="16" thickBot="1" x14ac:dyDescent="0.4">
      <c r="A248" s="120">
        <v>6</v>
      </c>
      <c r="B248" s="121" t="s">
        <v>15</v>
      </c>
      <c r="C248" s="127">
        <v>510.4</v>
      </c>
      <c r="D248" s="127">
        <v>514.1</v>
      </c>
      <c r="E248" s="117">
        <v>519.4</v>
      </c>
      <c r="F248" s="128">
        <v>521.6</v>
      </c>
      <c r="G248" s="117">
        <v>528.9</v>
      </c>
      <c r="H248" s="128">
        <v>544.5</v>
      </c>
    </row>
    <row r="249" spans="1:8" ht="16" thickTop="1" thickBot="1" x14ac:dyDescent="0.4">
      <c r="A249" s="302" t="s">
        <v>16</v>
      </c>
      <c r="B249" s="303"/>
      <c r="C249" s="303"/>
      <c r="D249" s="303"/>
      <c r="E249" s="303"/>
      <c r="F249" s="303"/>
      <c r="G249" s="303"/>
      <c r="H249" s="304"/>
    </row>
    <row r="250" spans="1:8" ht="16.5" thickTop="1" thickBot="1" x14ac:dyDescent="0.4">
      <c r="A250" s="289">
        <v>7</v>
      </c>
      <c r="B250" s="123" t="s">
        <v>110</v>
      </c>
      <c r="C250" s="324"/>
      <c r="D250" s="325"/>
      <c r="E250" s="325"/>
      <c r="F250" s="325"/>
      <c r="G250" s="325"/>
      <c r="H250" s="326"/>
    </row>
    <row r="251" spans="1:8" ht="16" thickBot="1" x14ac:dyDescent="0.4">
      <c r="A251" s="291"/>
      <c r="B251" s="121" t="s">
        <v>18</v>
      </c>
      <c r="C251" s="127">
        <v>445.8</v>
      </c>
      <c r="D251" s="127">
        <v>448.2</v>
      </c>
      <c r="E251" s="117">
        <v>451.8</v>
      </c>
      <c r="F251" s="128">
        <v>453</v>
      </c>
      <c r="G251" s="117">
        <v>456.9</v>
      </c>
      <c r="H251" s="128">
        <v>465.3</v>
      </c>
    </row>
    <row r="252" spans="1:8" ht="16.5" thickTop="1" thickBot="1" x14ac:dyDescent="0.4">
      <c r="A252" s="291"/>
      <c r="B252" s="123" t="s">
        <v>19</v>
      </c>
      <c r="C252" s="124">
        <v>277.5</v>
      </c>
      <c r="D252" s="124">
        <v>279.3</v>
      </c>
      <c r="E252" s="125">
        <v>282</v>
      </c>
      <c r="F252" s="126">
        <v>281.89999999999998</v>
      </c>
      <c r="G252" s="125">
        <v>280</v>
      </c>
      <c r="H252" s="126">
        <v>277.3</v>
      </c>
    </row>
    <row r="253" spans="1:8" ht="16" thickBot="1" x14ac:dyDescent="0.4">
      <c r="A253" s="291"/>
      <c r="B253" s="121" t="s">
        <v>20</v>
      </c>
      <c r="C253" s="127">
        <v>223.8</v>
      </c>
      <c r="D253" s="127">
        <v>224.3</v>
      </c>
      <c r="E253" s="117">
        <v>225.2</v>
      </c>
      <c r="F253" s="128">
        <v>224.8</v>
      </c>
      <c r="G253" s="117">
        <v>222.5</v>
      </c>
      <c r="H253" s="128">
        <v>218.9</v>
      </c>
    </row>
    <row r="254" spans="1:8" ht="16.5" thickTop="1" thickBot="1" x14ac:dyDescent="0.4">
      <c r="A254" s="291"/>
      <c r="B254" s="123" t="s">
        <v>21</v>
      </c>
      <c r="C254" s="124">
        <v>220.7</v>
      </c>
      <c r="D254" s="124">
        <v>221.2</v>
      </c>
      <c r="E254" s="125">
        <v>222</v>
      </c>
      <c r="F254" s="126">
        <v>221.7</v>
      </c>
      <c r="G254" s="125">
        <v>219.4</v>
      </c>
      <c r="H254" s="126">
        <v>215.9</v>
      </c>
    </row>
    <row r="255" spans="1:8" ht="16" thickBot="1" x14ac:dyDescent="0.4">
      <c r="A255" s="291"/>
      <c r="B255" s="121" t="s">
        <v>22</v>
      </c>
      <c r="C255" s="127">
        <v>160.9</v>
      </c>
      <c r="D255" s="127">
        <v>161.30000000000001</v>
      </c>
      <c r="E255" s="117">
        <v>161.80000000000001</v>
      </c>
      <c r="F255" s="128">
        <v>161.6</v>
      </c>
      <c r="G255" s="117">
        <v>160.19999999999999</v>
      </c>
      <c r="H255" s="128">
        <v>158.19999999999999</v>
      </c>
    </row>
    <row r="256" spans="1:8" ht="16.5" thickTop="1" thickBot="1" x14ac:dyDescent="0.4">
      <c r="A256" s="290"/>
      <c r="B256" s="123" t="s">
        <v>23</v>
      </c>
      <c r="C256" s="124">
        <v>104</v>
      </c>
      <c r="D256" s="124">
        <v>102</v>
      </c>
      <c r="E256" s="125">
        <v>94.3</v>
      </c>
      <c r="F256" s="126">
        <v>94.3</v>
      </c>
      <c r="G256" s="125">
        <v>93.4</v>
      </c>
      <c r="H256" s="131">
        <v>92.3</v>
      </c>
    </row>
    <row r="257" spans="1:8" ht="16" thickBot="1" x14ac:dyDescent="0.4">
      <c r="A257" s="287">
        <v>8</v>
      </c>
      <c r="B257" s="121" t="s">
        <v>24</v>
      </c>
      <c r="C257" s="318"/>
      <c r="D257" s="319"/>
      <c r="E257" s="319"/>
      <c r="F257" s="319"/>
      <c r="G257" s="319"/>
      <c r="H257" s="320"/>
    </row>
    <row r="258" spans="1:8" ht="16.5" thickTop="1" thickBot="1" x14ac:dyDescent="0.4">
      <c r="A258" s="291"/>
      <c r="B258" s="123" t="s">
        <v>25</v>
      </c>
      <c r="C258" s="124">
        <v>41.97</v>
      </c>
      <c r="D258" s="124">
        <v>42.97</v>
      </c>
      <c r="E258" s="125">
        <v>44.5</v>
      </c>
      <c r="F258" s="126">
        <v>44.44</v>
      </c>
      <c r="G258" s="125">
        <v>43.17</v>
      </c>
      <c r="H258" s="126">
        <v>41.42</v>
      </c>
    </row>
    <row r="259" spans="1:8" ht="16" thickBot="1" x14ac:dyDescent="0.4">
      <c r="A259" s="291"/>
      <c r="B259" s="121" t="s">
        <v>26</v>
      </c>
      <c r="C259" s="127">
        <v>5.5270000000000001</v>
      </c>
      <c r="D259" s="127">
        <v>5.6689999999999996</v>
      </c>
      <c r="E259" s="117">
        <v>5.8840000000000003</v>
      </c>
      <c r="F259" s="128">
        <v>5.8849999999999998</v>
      </c>
      <c r="G259" s="117">
        <v>5.7469999999999999</v>
      </c>
      <c r="H259" s="128">
        <v>5.5739999999999998</v>
      </c>
    </row>
    <row r="260" spans="1:8" ht="16.5" thickTop="1" thickBot="1" x14ac:dyDescent="0.4">
      <c r="A260" s="290"/>
      <c r="B260" s="123" t="s">
        <v>27</v>
      </c>
      <c r="C260" s="124">
        <v>494.3</v>
      </c>
      <c r="D260" s="124">
        <v>497.1</v>
      </c>
      <c r="E260" s="125">
        <v>501.1</v>
      </c>
      <c r="F260" s="126">
        <v>503.1</v>
      </c>
      <c r="G260" s="125">
        <v>509.9</v>
      </c>
      <c r="H260" s="126">
        <v>524.1</v>
      </c>
    </row>
    <row r="261" spans="1:8" ht="16" thickBot="1" x14ac:dyDescent="0.4">
      <c r="A261" s="287">
        <v>9</v>
      </c>
      <c r="B261" s="121" t="s">
        <v>28</v>
      </c>
      <c r="C261" s="318"/>
      <c r="D261" s="319"/>
      <c r="E261" s="319"/>
      <c r="F261" s="319"/>
      <c r="G261" s="319"/>
      <c r="H261" s="320"/>
    </row>
    <row r="262" spans="1:8" ht="16.5" thickTop="1" thickBot="1" x14ac:dyDescent="0.4">
      <c r="A262" s="291"/>
      <c r="B262" s="121" t="s">
        <v>25</v>
      </c>
      <c r="C262" s="127">
        <v>10.57</v>
      </c>
      <c r="D262" s="127">
        <v>10.74</v>
      </c>
      <c r="E262" s="117">
        <v>11.04</v>
      </c>
      <c r="F262" s="128">
        <v>10.92</v>
      </c>
      <c r="G262" s="117">
        <v>10.17</v>
      </c>
      <c r="H262" s="118">
        <v>9.0299999999999994</v>
      </c>
    </row>
    <row r="263" spans="1:8" ht="16.5" thickTop="1" thickBot="1" x14ac:dyDescent="0.4">
      <c r="A263" s="291"/>
      <c r="B263" s="123" t="s">
        <v>26</v>
      </c>
      <c r="C263" s="124">
        <v>0.46100000000000002</v>
      </c>
      <c r="D263" s="124">
        <v>0.46300000000000002</v>
      </c>
      <c r="E263" s="125">
        <v>0.46600000000000003</v>
      </c>
      <c r="F263" s="126">
        <v>0.46500000000000002</v>
      </c>
      <c r="G263" s="125">
        <v>0.45700000000000002</v>
      </c>
      <c r="H263" s="126">
        <v>0.44600000000000001</v>
      </c>
    </row>
    <row r="264" spans="1:8" ht="16" thickBot="1" x14ac:dyDescent="0.4">
      <c r="A264" s="288"/>
      <c r="B264" s="121" t="s">
        <v>27</v>
      </c>
      <c r="C264" s="127">
        <v>200.9</v>
      </c>
      <c r="D264" s="127">
        <v>201.1</v>
      </c>
      <c r="E264" s="117">
        <v>201.5</v>
      </c>
      <c r="F264" s="128">
        <v>201.3</v>
      </c>
      <c r="G264" s="117">
        <v>200.4</v>
      </c>
      <c r="H264" s="128">
        <v>199</v>
      </c>
    </row>
    <row r="265" spans="1:8" ht="16" thickTop="1" thickBot="1" x14ac:dyDescent="0.4">
      <c r="A265" s="302" t="s">
        <v>29</v>
      </c>
      <c r="B265" s="303"/>
      <c r="C265" s="303"/>
      <c r="D265" s="303"/>
      <c r="E265" s="303"/>
      <c r="F265" s="303"/>
      <c r="G265" s="303"/>
      <c r="H265" s="304"/>
    </row>
    <row r="266" spans="1:8" ht="16.5" thickTop="1" thickBot="1" x14ac:dyDescent="0.4">
      <c r="A266" s="295">
        <v>10</v>
      </c>
      <c r="B266" s="121" t="s">
        <v>30</v>
      </c>
      <c r="C266" s="315"/>
      <c r="D266" s="316"/>
      <c r="E266" s="316"/>
      <c r="F266" s="316"/>
      <c r="G266" s="316"/>
      <c r="H266" s="317"/>
    </row>
    <row r="267" spans="1:8" ht="16.5" thickTop="1" thickBot="1" x14ac:dyDescent="0.4">
      <c r="A267" s="314"/>
      <c r="B267" s="123" t="s">
        <v>31</v>
      </c>
      <c r="C267" s="124">
        <v>41.97</v>
      </c>
      <c r="D267" s="124">
        <v>42.97</v>
      </c>
      <c r="E267" s="125">
        <v>44.5</v>
      </c>
      <c r="F267" s="126">
        <v>44.44</v>
      </c>
      <c r="G267" s="125">
        <v>43.17</v>
      </c>
      <c r="H267" s="126">
        <v>41.42</v>
      </c>
    </row>
    <row r="268" spans="1:8" ht="16" thickBot="1" x14ac:dyDescent="0.4">
      <c r="A268" s="314"/>
      <c r="B268" s="121" t="s">
        <v>26</v>
      </c>
      <c r="C268" s="127">
        <v>5.1989999999999998</v>
      </c>
      <c r="D268" s="127">
        <v>5.3310000000000004</v>
      </c>
      <c r="E268" s="117">
        <v>5.5289999999999999</v>
      </c>
      <c r="F268" s="128">
        <v>5.53</v>
      </c>
      <c r="G268" s="117">
        <v>5.4039999999999999</v>
      </c>
      <c r="H268" s="128">
        <v>5.2460000000000004</v>
      </c>
    </row>
    <row r="269" spans="1:8" ht="16.5" thickTop="1" thickBot="1" x14ac:dyDescent="0.4">
      <c r="A269" s="293"/>
      <c r="B269" s="123" t="s">
        <v>32</v>
      </c>
      <c r="C269" s="124">
        <v>492.2</v>
      </c>
      <c r="D269" s="124">
        <v>495</v>
      </c>
      <c r="E269" s="125">
        <v>499</v>
      </c>
      <c r="F269" s="126">
        <v>500.9</v>
      </c>
      <c r="G269" s="125">
        <v>507.8</v>
      </c>
      <c r="H269" s="126">
        <v>522.1</v>
      </c>
    </row>
    <row r="270" spans="1:8" ht="16" thickBot="1" x14ac:dyDescent="0.4">
      <c r="A270" s="292">
        <v>11</v>
      </c>
      <c r="B270" s="121" t="s">
        <v>33</v>
      </c>
      <c r="C270" s="318"/>
      <c r="D270" s="319"/>
      <c r="E270" s="319"/>
      <c r="F270" s="319"/>
      <c r="G270" s="319"/>
      <c r="H270" s="320"/>
    </row>
    <row r="271" spans="1:8" ht="16.5" thickTop="1" thickBot="1" x14ac:dyDescent="0.4">
      <c r="A271" s="314"/>
      <c r="B271" s="123" t="s">
        <v>31</v>
      </c>
      <c r="C271" s="124">
        <v>10.57</v>
      </c>
      <c r="D271" s="124">
        <v>10.74</v>
      </c>
      <c r="E271" s="125">
        <v>11.04</v>
      </c>
      <c r="F271" s="126">
        <v>10.92</v>
      </c>
      <c r="G271" s="125">
        <v>10.17</v>
      </c>
      <c r="H271" s="131">
        <v>9.0299999999999994</v>
      </c>
    </row>
    <row r="272" spans="1:8" ht="16" thickBot="1" x14ac:dyDescent="0.4">
      <c r="A272" s="314"/>
      <c r="B272" s="121" t="s">
        <v>26</v>
      </c>
      <c r="C272" s="127">
        <v>0.4</v>
      </c>
      <c r="D272" s="127">
        <v>0.4</v>
      </c>
      <c r="E272" s="117">
        <v>0.4</v>
      </c>
      <c r="F272" s="128">
        <v>0.4</v>
      </c>
      <c r="G272" s="117">
        <v>0.4</v>
      </c>
      <c r="H272" s="128">
        <v>0.4</v>
      </c>
    </row>
    <row r="273" spans="1:8" ht="16.5" thickTop="1" thickBot="1" x14ac:dyDescent="0.4">
      <c r="A273" s="293"/>
      <c r="B273" s="123" t="s">
        <v>27</v>
      </c>
      <c r="C273" s="124">
        <v>199.4</v>
      </c>
      <c r="D273" s="124">
        <v>199.6</v>
      </c>
      <c r="E273" s="125">
        <v>199.8</v>
      </c>
      <c r="F273" s="126">
        <v>199.7</v>
      </c>
      <c r="G273" s="125">
        <v>199</v>
      </c>
      <c r="H273" s="126">
        <v>197.8</v>
      </c>
    </row>
    <row r="274" spans="1:8" ht="16" thickBot="1" x14ac:dyDescent="0.4">
      <c r="A274" s="292">
        <v>12</v>
      </c>
      <c r="B274" s="123" t="s">
        <v>34</v>
      </c>
      <c r="C274" s="321"/>
      <c r="D274" s="322"/>
      <c r="E274" s="322"/>
      <c r="F274" s="322"/>
      <c r="G274" s="322"/>
      <c r="H274" s="323"/>
    </row>
    <row r="275" spans="1:8" ht="16" thickBot="1" x14ac:dyDescent="0.4">
      <c r="A275" s="314"/>
      <c r="B275" s="121" t="s">
        <v>31</v>
      </c>
      <c r="C275" s="127">
        <v>52.33</v>
      </c>
      <c r="D275" s="127">
        <v>53.5</v>
      </c>
      <c r="E275" s="117">
        <v>55.33</v>
      </c>
      <c r="F275" s="118">
        <v>55.2</v>
      </c>
      <c r="G275" s="117">
        <v>53.14</v>
      </c>
      <c r="H275" s="128">
        <v>50.25</v>
      </c>
    </row>
    <row r="276" spans="1:8" ht="16.5" thickTop="1" thickBot="1" x14ac:dyDescent="0.4">
      <c r="A276" s="314"/>
      <c r="B276" s="123" t="s">
        <v>26</v>
      </c>
      <c r="C276" s="124">
        <v>0.35799999999999998</v>
      </c>
      <c r="D276" s="124">
        <v>0.36399999999999999</v>
      </c>
      <c r="E276" s="125">
        <v>0.35699999999999998</v>
      </c>
      <c r="F276" s="126">
        <v>0.35199999999999998</v>
      </c>
      <c r="G276" s="125">
        <v>0.36599999999999999</v>
      </c>
      <c r="H276" s="126">
        <v>0.35199999999999998</v>
      </c>
    </row>
    <row r="277" spans="1:8" ht="16" thickBot="1" x14ac:dyDescent="0.4">
      <c r="A277" s="294"/>
      <c r="B277" s="121" t="s">
        <v>35</v>
      </c>
      <c r="C277" s="127">
        <v>191.5</v>
      </c>
      <c r="D277" s="127">
        <v>192.3</v>
      </c>
      <c r="E277" s="117">
        <v>190.4</v>
      </c>
      <c r="F277" s="128">
        <v>190.3</v>
      </c>
      <c r="G277" s="117">
        <v>198.5</v>
      </c>
      <c r="H277" s="128">
        <v>206.1</v>
      </c>
    </row>
    <row r="278" spans="1:8" ht="17" thickTop="1" thickBot="1" x14ac:dyDescent="0.4">
      <c r="A278" s="305">
        <v>13</v>
      </c>
      <c r="B278" s="149" t="s">
        <v>36</v>
      </c>
      <c r="C278" s="308"/>
      <c r="D278" s="309"/>
      <c r="E278" s="309"/>
      <c r="F278" s="309"/>
      <c r="G278" s="309"/>
      <c r="H278" s="310"/>
    </row>
    <row r="279" spans="1:8" ht="17" thickTop="1" thickBot="1" x14ac:dyDescent="0.4">
      <c r="A279" s="306"/>
      <c r="B279" s="150" t="s">
        <v>31</v>
      </c>
      <c r="C279" s="151">
        <v>17.62</v>
      </c>
      <c r="D279" s="151">
        <v>16.23</v>
      </c>
      <c r="E279" s="152">
        <v>25</v>
      </c>
      <c r="F279" s="152">
        <v>29.86</v>
      </c>
      <c r="G279" s="152">
        <v>0</v>
      </c>
      <c r="H279" s="152">
        <v>0</v>
      </c>
    </row>
    <row r="280" spans="1:8" ht="17" thickTop="1" thickBot="1" x14ac:dyDescent="0.4">
      <c r="A280" s="306"/>
      <c r="B280" s="150" t="s">
        <v>26</v>
      </c>
      <c r="C280" s="151">
        <v>0.13089999999999999</v>
      </c>
      <c r="D280" s="151">
        <v>0.13439999999999999</v>
      </c>
      <c r="E280" s="152">
        <v>8.4900000000000003E-2</v>
      </c>
      <c r="F280" s="152">
        <v>6.4899999999999999E-2</v>
      </c>
      <c r="G280" s="150">
        <v>0.14760000000000001</v>
      </c>
      <c r="H280" s="150">
        <v>0.14910000000000001</v>
      </c>
    </row>
    <row r="281" spans="1:8" ht="17" thickTop="1" thickBot="1" x14ac:dyDescent="0.4">
      <c r="A281" s="307"/>
      <c r="B281" s="150" t="s">
        <v>27</v>
      </c>
      <c r="C281" s="151">
        <v>116.1</v>
      </c>
      <c r="D281" s="151">
        <v>114.4</v>
      </c>
      <c r="E281" s="152">
        <v>95.1</v>
      </c>
      <c r="F281" s="152">
        <v>87.9</v>
      </c>
      <c r="G281" s="153">
        <v>122.5</v>
      </c>
      <c r="H281" s="153">
        <v>132.69999999999999</v>
      </c>
    </row>
    <row r="282" spans="1:8" ht="17" thickTop="1" thickBot="1" x14ac:dyDescent="0.4">
      <c r="A282" s="305">
        <v>14</v>
      </c>
      <c r="B282" s="150" t="s">
        <v>37</v>
      </c>
      <c r="C282" s="308"/>
      <c r="D282" s="309"/>
      <c r="E282" s="309"/>
      <c r="F282" s="309"/>
      <c r="G282" s="309"/>
      <c r="H282" s="310"/>
    </row>
    <row r="283" spans="1:8" ht="17" thickTop="1" thickBot="1" x14ac:dyDescent="0.4">
      <c r="A283" s="306"/>
      <c r="B283" s="150" t="s">
        <v>31</v>
      </c>
      <c r="C283" s="151">
        <v>30.28</v>
      </c>
      <c r="D283" s="151">
        <v>32.83</v>
      </c>
      <c r="E283" s="152">
        <v>25.9</v>
      </c>
      <c r="F283" s="152">
        <v>20.86</v>
      </c>
      <c r="G283" s="153">
        <v>45.45</v>
      </c>
      <c r="H283" s="153">
        <v>44.72</v>
      </c>
    </row>
    <row r="284" spans="1:8" ht="17" thickTop="1" thickBot="1" x14ac:dyDescent="0.4">
      <c r="A284" s="306"/>
      <c r="B284" s="150" t="s">
        <v>26</v>
      </c>
      <c r="C284" s="151">
        <v>9.6299999999999997E-2</v>
      </c>
      <c r="D284" s="151">
        <v>9.5200000000000007E-2</v>
      </c>
      <c r="E284" s="152">
        <v>4.3900000000000002E-2</v>
      </c>
      <c r="F284" s="152">
        <v>3.0300000000000001E-2</v>
      </c>
      <c r="G284" s="150">
        <v>4.6199999999999998E-2</v>
      </c>
      <c r="H284" s="150">
        <v>5.7799999999999997E-2</v>
      </c>
    </row>
    <row r="285" spans="1:8" ht="17" thickTop="1" thickBot="1" x14ac:dyDescent="0.4">
      <c r="A285" s="307"/>
      <c r="B285" s="150" t="s">
        <v>27</v>
      </c>
      <c r="C285" s="151">
        <v>98.6</v>
      </c>
      <c r="D285" s="151">
        <v>98.2</v>
      </c>
      <c r="E285" s="152">
        <v>78.099999999999994</v>
      </c>
      <c r="F285" s="152">
        <v>69.3</v>
      </c>
      <c r="G285" s="153">
        <v>79.400000000000006</v>
      </c>
      <c r="H285" s="153">
        <v>84.9</v>
      </c>
    </row>
    <row r="286" spans="1:8" ht="17" thickTop="1" thickBot="1" x14ac:dyDescent="0.4">
      <c r="A286" s="305">
        <v>15</v>
      </c>
      <c r="B286" s="150" t="s">
        <v>38</v>
      </c>
      <c r="C286" s="308"/>
      <c r="D286" s="309"/>
      <c r="E286" s="309"/>
      <c r="F286" s="309"/>
      <c r="G286" s="309"/>
      <c r="H286" s="310"/>
    </row>
    <row r="287" spans="1:8" ht="17" thickTop="1" thickBot="1" x14ac:dyDescent="0.4">
      <c r="A287" s="306"/>
      <c r="B287" s="150" t="s">
        <v>31</v>
      </c>
      <c r="C287" s="151">
        <v>4.4400000000000004</v>
      </c>
      <c r="D287" s="151">
        <v>4.4400000000000004</v>
      </c>
      <c r="E287" s="152">
        <v>4.4400000000000004</v>
      </c>
      <c r="F287" s="152">
        <v>4.4400000000000004</v>
      </c>
      <c r="G287" s="153">
        <v>7.68</v>
      </c>
      <c r="H287" s="153">
        <v>5.52</v>
      </c>
    </row>
    <row r="288" spans="1:8" ht="17" thickTop="1" thickBot="1" x14ac:dyDescent="0.4">
      <c r="A288" s="306"/>
      <c r="B288" s="150" t="s">
        <v>27</v>
      </c>
      <c r="C288" s="151">
        <v>91.3</v>
      </c>
      <c r="D288" s="151">
        <v>84.58</v>
      </c>
      <c r="E288" s="152">
        <v>35.06</v>
      </c>
      <c r="F288" s="152">
        <v>35.39</v>
      </c>
      <c r="G288" s="153">
        <v>45.43</v>
      </c>
      <c r="H288" s="153">
        <v>68.8</v>
      </c>
    </row>
    <row r="289" spans="1:8" ht="17" thickTop="1" thickBot="1" x14ac:dyDescent="0.4">
      <c r="A289" s="306"/>
      <c r="B289" s="150" t="s">
        <v>154</v>
      </c>
      <c r="C289" s="151">
        <v>104.3</v>
      </c>
      <c r="D289" s="151">
        <v>103.8</v>
      </c>
      <c r="E289" s="152" t="s">
        <v>155</v>
      </c>
      <c r="F289" s="152" t="s">
        <v>156</v>
      </c>
      <c r="G289" s="153" t="s">
        <v>157</v>
      </c>
      <c r="H289" s="153">
        <v>101.7</v>
      </c>
    </row>
    <row r="290" spans="1:8" ht="17" thickTop="1" thickBot="1" x14ac:dyDescent="0.4">
      <c r="A290" s="306"/>
      <c r="B290" s="150" t="s">
        <v>119</v>
      </c>
      <c r="C290" s="151">
        <v>833.3</v>
      </c>
      <c r="D290" s="151">
        <v>833.3</v>
      </c>
      <c r="E290" s="152">
        <v>833.3</v>
      </c>
      <c r="F290" s="152">
        <v>833.3</v>
      </c>
      <c r="G290" s="153">
        <v>833.3</v>
      </c>
      <c r="H290" s="153">
        <v>833.3</v>
      </c>
    </row>
    <row r="291" spans="1:8" ht="17" thickTop="1" thickBot="1" x14ac:dyDescent="0.4">
      <c r="A291" s="306"/>
      <c r="B291" s="154" t="s">
        <v>49</v>
      </c>
      <c r="C291" s="151">
        <v>112.9</v>
      </c>
      <c r="D291" s="151">
        <v>114</v>
      </c>
      <c r="E291" s="152">
        <v>114.7</v>
      </c>
      <c r="F291" s="152">
        <v>116.8</v>
      </c>
      <c r="G291" s="153">
        <v>118.3</v>
      </c>
      <c r="H291" s="153">
        <v>116.8</v>
      </c>
    </row>
    <row r="292" spans="1:8" ht="17" thickTop="1" thickBot="1" x14ac:dyDescent="0.4">
      <c r="A292" s="306"/>
      <c r="B292" s="155" t="s">
        <v>50</v>
      </c>
      <c r="C292" s="151">
        <v>49.2</v>
      </c>
      <c r="D292" s="151">
        <v>41.7</v>
      </c>
      <c r="E292" s="152">
        <v>36.700000000000003</v>
      </c>
      <c r="F292" s="152">
        <v>22.5</v>
      </c>
      <c r="G292" s="153">
        <v>11.7</v>
      </c>
      <c r="H292" s="153">
        <v>22.5</v>
      </c>
    </row>
    <row r="293" spans="1:8" ht="17" thickTop="1" thickBot="1" x14ac:dyDescent="0.4">
      <c r="A293" s="306"/>
      <c r="B293" s="150" t="s">
        <v>120</v>
      </c>
      <c r="C293" s="151">
        <v>103.2</v>
      </c>
      <c r="D293" s="151">
        <v>104.1</v>
      </c>
      <c r="E293" s="152">
        <v>89.4</v>
      </c>
      <c r="F293" s="152">
        <v>81.8</v>
      </c>
      <c r="G293" s="153">
        <v>72</v>
      </c>
      <c r="H293" s="153">
        <v>72</v>
      </c>
    </row>
    <row r="294" spans="1:8" ht="17" thickTop="1" thickBot="1" x14ac:dyDescent="0.4">
      <c r="A294" s="307"/>
      <c r="B294" s="150" t="s">
        <v>121</v>
      </c>
      <c r="C294" s="151">
        <v>69</v>
      </c>
      <c r="D294" s="151">
        <v>69</v>
      </c>
      <c r="E294" s="152">
        <v>53.1</v>
      </c>
      <c r="F294" s="152">
        <v>46</v>
      </c>
      <c r="G294" s="153">
        <v>40</v>
      </c>
      <c r="H294" s="153">
        <v>40</v>
      </c>
    </row>
    <row r="295" spans="1:8" ht="17" thickTop="1" thickBot="1" x14ac:dyDescent="0.4">
      <c r="A295" s="305">
        <v>16</v>
      </c>
      <c r="B295" s="150" t="s">
        <v>53</v>
      </c>
      <c r="C295" s="308"/>
      <c r="D295" s="309"/>
      <c r="E295" s="309"/>
      <c r="F295" s="309"/>
      <c r="G295" s="309"/>
      <c r="H295" s="310"/>
    </row>
    <row r="296" spans="1:8" ht="17" thickTop="1" thickBot="1" x14ac:dyDescent="0.4">
      <c r="A296" s="306"/>
      <c r="B296" s="150" t="s">
        <v>31</v>
      </c>
      <c r="C296" s="151">
        <v>4.4400000000000004</v>
      </c>
      <c r="D296" s="151">
        <v>4.4400000000000004</v>
      </c>
      <c r="E296" s="152">
        <v>4.4400000000000004</v>
      </c>
      <c r="F296" s="152">
        <v>4.4400000000000004</v>
      </c>
      <c r="G296" s="153">
        <v>7.68</v>
      </c>
      <c r="H296" s="153">
        <v>5.52</v>
      </c>
    </row>
    <row r="297" spans="1:8" ht="17" thickTop="1" thickBot="1" x14ac:dyDescent="0.4">
      <c r="A297" s="306"/>
      <c r="B297" s="150" t="s">
        <v>26</v>
      </c>
      <c r="C297" s="151">
        <v>1.6999999999999999E-3</v>
      </c>
      <c r="D297" s="151">
        <v>2.0999999999999999E-3</v>
      </c>
      <c r="E297" s="152">
        <v>2.3999999999999998E-3</v>
      </c>
      <c r="F297" s="152">
        <v>2.7000000000000001E-3</v>
      </c>
      <c r="G297" s="150">
        <v>3.8999999999999998E-3</v>
      </c>
      <c r="H297" s="150">
        <v>8.5000000000000006E-3</v>
      </c>
    </row>
    <row r="298" spans="1:8" ht="17" thickTop="1" thickBot="1" x14ac:dyDescent="0.4">
      <c r="A298" s="307"/>
      <c r="B298" s="150" t="s">
        <v>122</v>
      </c>
      <c r="C298" s="151">
        <v>100.3</v>
      </c>
      <c r="D298" s="151">
        <v>100.4</v>
      </c>
      <c r="E298" s="152" t="s">
        <v>158</v>
      </c>
      <c r="F298" s="152" t="s">
        <v>159</v>
      </c>
      <c r="G298" s="153" t="s">
        <v>160</v>
      </c>
      <c r="H298" s="153">
        <v>101.1</v>
      </c>
    </row>
    <row r="299" spans="1:8" ht="16.5" thickTop="1" thickBot="1" x14ac:dyDescent="0.4">
      <c r="A299" s="311" t="s">
        <v>63</v>
      </c>
      <c r="B299" s="312"/>
      <c r="C299" s="312"/>
      <c r="D299" s="312"/>
      <c r="E299" s="312"/>
      <c r="F299" s="312"/>
      <c r="G299" s="312"/>
      <c r="H299" s="313"/>
    </row>
    <row r="300" spans="1:8" ht="17" thickTop="1" thickBot="1" x14ac:dyDescent="0.4">
      <c r="A300" s="156">
        <v>17</v>
      </c>
      <c r="B300" s="150" t="s">
        <v>26</v>
      </c>
      <c r="C300" s="151">
        <v>1.6999999999999999E-3</v>
      </c>
      <c r="D300" s="151">
        <v>2.0999999999999999E-3</v>
      </c>
      <c r="E300" s="152">
        <v>2.3999999999999998E-3</v>
      </c>
      <c r="F300" s="152">
        <v>2.7000000000000001E-3</v>
      </c>
      <c r="G300" s="150">
        <v>3.8999999999999998E-3</v>
      </c>
      <c r="H300" s="150">
        <v>8.5000000000000006E-3</v>
      </c>
    </row>
    <row r="301" spans="1:8" ht="17" thickTop="1" thickBot="1" x14ac:dyDescent="0.4">
      <c r="A301" s="156">
        <v>18</v>
      </c>
      <c r="B301" s="150" t="s">
        <v>64</v>
      </c>
      <c r="C301" s="151">
        <v>15.24</v>
      </c>
      <c r="D301" s="151">
        <v>18.239999999999998</v>
      </c>
      <c r="E301" s="152">
        <v>20.170000000000002</v>
      </c>
      <c r="F301" s="152">
        <v>22.14</v>
      </c>
      <c r="G301" s="153">
        <v>28.49</v>
      </c>
      <c r="H301" s="153">
        <v>42.65</v>
      </c>
    </row>
    <row r="302" spans="1:8" ht="17" thickTop="1" thickBot="1" x14ac:dyDescent="0.4">
      <c r="A302" s="156">
        <v>19</v>
      </c>
      <c r="B302" s="150" t="s">
        <v>65</v>
      </c>
      <c r="C302" s="151">
        <v>3611</v>
      </c>
      <c r="D302" s="151">
        <v>3611</v>
      </c>
      <c r="E302" s="152">
        <v>3611</v>
      </c>
      <c r="F302" s="152">
        <v>3611</v>
      </c>
      <c r="G302" s="153">
        <v>3611</v>
      </c>
      <c r="H302" s="153">
        <v>3611</v>
      </c>
    </row>
    <row r="303" spans="1:8" ht="17" thickTop="1" thickBot="1" x14ac:dyDescent="0.4">
      <c r="A303" s="156">
        <v>20</v>
      </c>
      <c r="B303" s="150" t="s">
        <v>127</v>
      </c>
      <c r="C303" s="151">
        <v>13</v>
      </c>
      <c r="D303" s="151">
        <v>16</v>
      </c>
      <c r="E303" s="152">
        <v>18</v>
      </c>
      <c r="F303" s="152">
        <v>20</v>
      </c>
      <c r="G303" s="154">
        <v>25</v>
      </c>
      <c r="H303" s="154">
        <v>40</v>
      </c>
    </row>
    <row r="304" spans="1:8" ht="17" thickTop="1" thickBot="1" x14ac:dyDescent="0.4">
      <c r="A304" s="156">
        <v>21</v>
      </c>
      <c r="B304" s="150" t="s">
        <v>128</v>
      </c>
      <c r="C304" s="151">
        <v>13.8</v>
      </c>
      <c r="D304" s="151">
        <v>16.8</v>
      </c>
      <c r="E304" s="152">
        <v>18.8</v>
      </c>
      <c r="F304" s="152">
        <v>20.8</v>
      </c>
      <c r="G304" s="153">
        <v>26.3</v>
      </c>
      <c r="H304" s="153">
        <v>40.9</v>
      </c>
    </row>
    <row r="305" spans="1:8" ht="18" thickTop="1" x14ac:dyDescent="0.35">
      <c r="A305" s="298">
        <v>22</v>
      </c>
      <c r="B305" s="99" t="s">
        <v>129</v>
      </c>
      <c r="C305" s="137"/>
      <c r="D305" s="138"/>
      <c r="E305" s="119"/>
      <c r="F305" s="139"/>
      <c r="G305" s="119"/>
      <c r="H305" s="119"/>
    </row>
    <row r="306" spans="1:8" ht="16.5" thickBot="1" x14ac:dyDescent="0.4">
      <c r="A306" s="299"/>
      <c r="B306" s="150" t="s">
        <v>130</v>
      </c>
      <c r="C306" s="151">
        <v>25</v>
      </c>
      <c r="D306" s="151">
        <v>28.2</v>
      </c>
      <c r="E306" s="152">
        <v>30.2</v>
      </c>
      <c r="F306" s="152">
        <v>32.1</v>
      </c>
      <c r="G306" s="153">
        <v>38.299999999999997</v>
      </c>
      <c r="H306" s="153">
        <v>51</v>
      </c>
    </row>
    <row r="307" spans="1:8" ht="17" thickTop="1" thickBot="1" x14ac:dyDescent="0.4">
      <c r="A307" s="156">
        <v>23</v>
      </c>
      <c r="B307" s="150" t="s">
        <v>131</v>
      </c>
      <c r="C307" s="151">
        <v>82.6</v>
      </c>
      <c r="D307" s="151">
        <v>74.7</v>
      </c>
      <c r="E307" s="152">
        <v>58.7</v>
      </c>
      <c r="F307" s="152">
        <v>57.1</v>
      </c>
      <c r="G307" s="153">
        <v>51.4</v>
      </c>
      <c r="H307" s="153">
        <v>61.1</v>
      </c>
    </row>
    <row r="308" spans="1:8" ht="18" thickTop="1" x14ac:dyDescent="0.35">
      <c r="A308" s="298">
        <v>24</v>
      </c>
      <c r="B308" s="99" t="s">
        <v>132</v>
      </c>
      <c r="C308" s="137"/>
      <c r="D308" s="138"/>
      <c r="E308" s="119"/>
      <c r="F308" s="119"/>
      <c r="G308" s="139"/>
      <c r="H308" s="139"/>
    </row>
    <row r="309" spans="1:8" ht="16.5" thickBot="1" x14ac:dyDescent="0.4">
      <c r="A309" s="299"/>
      <c r="B309" s="150" t="s">
        <v>72</v>
      </c>
      <c r="C309" s="151">
        <v>77.2</v>
      </c>
      <c r="D309" s="151">
        <v>70.400000000000006</v>
      </c>
      <c r="E309" s="152">
        <v>56.2</v>
      </c>
      <c r="F309" s="152">
        <v>54.8</v>
      </c>
      <c r="G309" s="153">
        <v>49.4</v>
      </c>
      <c r="H309" s="153">
        <v>59.9</v>
      </c>
    </row>
    <row r="310" spans="1:8" ht="18" thickTop="1" x14ac:dyDescent="0.35">
      <c r="A310" s="298">
        <v>25</v>
      </c>
      <c r="B310" s="99" t="s">
        <v>133</v>
      </c>
      <c r="C310" s="137"/>
      <c r="D310" s="138"/>
      <c r="E310" s="119"/>
      <c r="F310" s="139"/>
      <c r="G310" s="119"/>
      <c r="H310" s="119"/>
    </row>
    <row r="311" spans="1:8" ht="16.5" thickBot="1" x14ac:dyDescent="0.4">
      <c r="A311" s="299"/>
      <c r="B311" s="150" t="s">
        <v>76</v>
      </c>
      <c r="C311" s="151">
        <v>52.85</v>
      </c>
      <c r="D311" s="151">
        <v>54.02</v>
      </c>
      <c r="E311" s="152">
        <v>55.86</v>
      </c>
      <c r="F311" s="152">
        <v>55.68</v>
      </c>
      <c r="G311" s="153">
        <v>53.64</v>
      </c>
      <c r="H311" s="153">
        <v>50.76</v>
      </c>
    </row>
    <row r="312" spans="1:8" ht="18" thickTop="1" x14ac:dyDescent="0.35">
      <c r="A312" s="298">
        <v>26</v>
      </c>
      <c r="B312" s="99" t="s">
        <v>75</v>
      </c>
      <c r="C312" s="137"/>
      <c r="D312" s="138"/>
      <c r="E312" s="119"/>
      <c r="F312" s="139"/>
      <c r="G312" s="119"/>
      <c r="H312" s="119"/>
    </row>
    <row r="313" spans="1:8" ht="16.5" thickBot="1" x14ac:dyDescent="0.4">
      <c r="A313" s="299"/>
      <c r="B313" s="150" t="s">
        <v>76</v>
      </c>
      <c r="C313" s="151">
        <v>86.75</v>
      </c>
      <c r="D313" s="151">
        <v>85.08</v>
      </c>
      <c r="E313" s="152">
        <v>79.13</v>
      </c>
      <c r="F313" s="152">
        <v>78.599999999999994</v>
      </c>
      <c r="G313" s="153">
        <v>74.349999999999994</v>
      </c>
      <c r="H313" s="153">
        <v>67.599999999999994</v>
      </c>
    </row>
    <row r="314" spans="1:8" ht="17" thickTop="1" thickBot="1" x14ac:dyDescent="0.4">
      <c r="A314" s="156">
        <v>27</v>
      </c>
      <c r="B314" s="88" t="s">
        <v>161</v>
      </c>
      <c r="C314" s="151">
        <v>33.9</v>
      </c>
      <c r="D314" s="151">
        <v>31.06</v>
      </c>
      <c r="E314" s="152">
        <v>23.28</v>
      </c>
      <c r="F314" s="152">
        <v>22.92</v>
      </c>
      <c r="G314" s="157">
        <v>20.71</v>
      </c>
      <c r="H314" s="157">
        <v>16.850000000000001</v>
      </c>
    </row>
    <row r="315" spans="1:8" ht="18" thickTop="1" x14ac:dyDescent="0.35">
      <c r="A315" s="298">
        <v>28</v>
      </c>
      <c r="B315" s="99" t="s">
        <v>136</v>
      </c>
      <c r="C315" s="138"/>
      <c r="D315" s="138"/>
      <c r="E315" s="119"/>
      <c r="F315" s="119"/>
      <c r="G315" s="119"/>
      <c r="H315" s="119"/>
    </row>
    <row r="316" spans="1:8" ht="16.5" thickBot="1" x14ac:dyDescent="0.4">
      <c r="A316" s="299"/>
      <c r="B316" s="150" t="s">
        <v>137</v>
      </c>
      <c r="C316" s="151">
        <v>80</v>
      </c>
      <c r="D316" s="151">
        <v>75.8</v>
      </c>
      <c r="E316" s="152">
        <v>60</v>
      </c>
      <c r="F316" s="152">
        <v>60.4</v>
      </c>
      <c r="G316" s="157">
        <v>60.2</v>
      </c>
      <c r="H316" s="157">
        <v>60</v>
      </c>
    </row>
    <row r="317" spans="1:8" ht="18" thickTop="1" x14ac:dyDescent="0.35">
      <c r="A317" s="298">
        <v>29</v>
      </c>
      <c r="B317" s="99" t="s">
        <v>129</v>
      </c>
      <c r="C317" s="300">
        <v>138.9</v>
      </c>
      <c r="D317" s="138"/>
      <c r="E317" s="119"/>
      <c r="F317" s="139"/>
      <c r="G317" s="119"/>
      <c r="H317" s="119"/>
    </row>
    <row r="318" spans="1:8" ht="16.5" thickBot="1" x14ac:dyDescent="0.4">
      <c r="A318" s="299"/>
      <c r="B318" s="150" t="s">
        <v>138</v>
      </c>
      <c r="C318" s="301"/>
      <c r="D318" s="151">
        <v>139.1</v>
      </c>
      <c r="E318" s="152">
        <v>139.30000000000001</v>
      </c>
      <c r="F318" s="152">
        <v>139.19999999999999</v>
      </c>
      <c r="G318" s="153">
        <v>138.5</v>
      </c>
      <c r="H318" s="153">
        <v>137.69999999999999</v>
      </c>
    </row>
    <row r="319" spans="1:8" ht="17" thickTop="1" thickBot="1" x14ac:dyDescent="0.4">
      <c r="A319" s="156">
        <v>30</v>
      </c>
      <c r="B319" s="150" t="s">
        <v>139</v>
      </c>
      <c r="C319" s="151">
        <v>166</v>
      </c>
      <c r="D319" s="151">
        <v>166</v>
      </c>
      <c r="E319" s="152">
        <v>166.1</v>
      </c>
      <c r="F319" s="152">
        <v>166.1</v>
      </c>
      <c r="G319" s="153">
        <v>166</v>
      </c>
      <c r="H319" s="153">
        <v>166</v>
      </c>
    </row>
    <row r="320" spans="1:8" ht="16.5" thickTop="1" thickBot="1" x14ac:dyDescent="0.4">
      <c r="A320" s="158">
        <v>31</v>
      </c>
      <c r="B320" s="130" t="s">
        <v>83</v>
      </c>
      <c r="C320" s="159">
        <v>272</v>
      </c>
      <c r="D320" s="159">
        <v>272.3</v>
      </c>
      <c r="E320" s="160">
        <v>275.5</v>
      </c>
      <c r="F320" s="160">
        <v>275.3</v>
      </c>
      <c r="G320" s="160">
        <v>272.7</v>
      </c>
      <c r="H320" s="160">
        <v>270.10000000000002</v>
      </c>
    </row>
    <row r="321" spans="1:8" ht="16" thickBot="1" x14ac:dyDescent="0.4">
      <c r="A321" s="134">
        <v>32</v>
      </c>
      <c r="B321" s="121" t="s">
        <v>84</v>
      </c>
      <c r="C321" s="127">
        <v>5.6740000000000004</v>
      </c>
      <c r="D321" s="127">
        <v>5.8230000000000004</v>
      </c>
      <c r="E321" s="117">
        <v>6.0490000000000004</v>
      </c>
      <c r="F321" s="117">
        <v>6.05</v>
      </c>
      <c r="G321" s="117">
        <v>5.9020000000000001</v>
      </c>
      <c r="H321" s="117">
        <v>5.7169999999999996</v>
      </c>
    </row>
    <row r="322" spans="1:8" ht="16.5" thickTop="1" thickBot="1" x14ac:dyDescent="0.4">
      <c r="A322" s="134">
        <v>33</v>
      </c>
      <c r="B322" s="121" t="s">
        <v>85</v>
      </c>
      <c r="C322" s="127">
        <v>0.46300000000000002</v>
      </c>
      <c r="D322" s="127">
        <v>0.46400000000000002</v>
      </c>
      <c r="E322" s="117">
        <v>0.46800000000000003</v>
      </c>
      <c r="F322" s="117">
        <v>0.46600000000000003</v>
      </c>
      <c r="G322" s="117">
        <v>0.45800000000000002</v>
      </c>
      <c r="H322" s="117">
        <v>0.44700000000000001</v>
      </c>
    </row>
    <row r="323" spans="1:8" ht="16" thickTop="1" thickBot="1" x14ac:dyDescent="0.4">
      <c r="A323" s="302" t="s">
        <v>86</v>
      </c>
      <c r="B323" s="303"/>
      <c r="C323" s="303"/>
      <c r="D323" s="303"/>
      <c r="E323" s="303"/>
      <c r="F323" s="303"/>
      <c r="G323" s="303"/>
      <c r="H323" s="304"/>
    </row>
    <row r="324" spans="1:8" ht="16.5" thickTop="1" thickBot="1" x14ac:dyDescent="0.4">
      <c r="A324" s="134">
        <v>34</v>
      </c>
      <c r="B324" s="121" t="s">
        <v>87</v>
      </c>
      <c r="C324" s="127">
        <v>84.5</v>
      </c>
      <c r="D324" s="127">
        <v>84.5</v>
      </c>
      <c r="E324" s="117">
        <v>84.5</v>
      </c>
      <c r="F324" s="117">
        <v>82.6</v>
      </c>
      <c r="G324" s="117">
        <v>74.7</v>
      </c>
      <c r="H324" s="117">
        <v>64.5</v>
      </c>
    </row>
    <row r="325" spans="1:8" ht="16.5" thickTop="1" thickBot="1" x14ac:dyDescent="0.4">
      <c r="A325" s="135">
        <v>35</v>
      </c>
      <c r="B325" s="123" t="s">
        <v>88</v>
      </c>
      <c r="C325" s="124">
        <v>32.549999999999997</v>
      </c>
      <c r="D325" s="124">
        <v>34.020000000000003</v>
      </c>
      <c r="E325" s="125">
        <v>39.64</v>
      </c>
      <c r="F325" s="125">
        <v>40.97</v>
      </c>
      <c r="G325" s="125">
        <v>40.659999999999997</v>
      </c>
      <c r="H325" s="125">
        <v>36.94</v>
      </c>
    </row>
    <row r="326" spans="1:8" ht="16" thickBot="1" x14ac:dyDescent="0.4">
      <c r="A326" s="134">
        <v>36</v>
      </c>
      <c r="B326" s="121" t="s">
        <v>89</v>
      </c>
      <c r="C326" s="127">
        <v>117.05</v>
      </c>
      <c r="D326" s="127">
        <v>118.52</v>
      </c>
      <c r="E326" s="117">
        <v>124.14</v>
      </c>
      <c r="F326" s="117">
        <v>123.57</v>
      </c>
      <c r="G326" s="117">
        <v>115.36</v>
      </c>
      <c r="H326" s="117">
        <v>101.44</v>
      </c>
    </row>
    <row r="327" spans="1:8" ht="16.5" thickTop="1" thickBot="1" x14ac:dyDescent="0.4">
      <c r="A327" s="295">
        <v>37</v>
      </c>
      <c r="B327" s="121" t="s">
        <v>140</v>
      </c>
      <c r="C327" s="127">
        <v>68.989999999999995</v>
      </c>
      <c r="D327" s="127">
        <v>74.42</v>
      </c>
      <c r="E327" s="117">
        <v>59.51</v>
      </c>
      <c r="F327" s="117">
        <v>48.88</v>
      </c>
      <c r="G327" s="117">
        <v>101.8</v>
      </c>
      <c r="H327" s="117">
        <v>101.58</v>
      </c>
    </row>
    <row r="328" spans="1:8" ht="16.5" thickTop="1" thickBot="1" x14ac:dyDescent="0.4">
      <c r="A328" s="293"/>
      <c r="B328" s="126" t="s">
        <v>91</v>
      </c>
      <c r="C328" s="124">
        <v>59.33</v>
      </c>
      <c r="D328" s="124">
        <v>64</v>
      </c>
      <c r="E328" s="125">
        <v>51.18</v>
      </c>
      <c r="F328" s="125">
        <v>42.04</v>
      </c>
      <c r="G328" s="125">
        <v>87.55</v>
      </c>
      <c r="H328" s="125">
        <v>87.36</v>
      </c>
    </row>
    <row r="329" spans="1:8" ht="16" thickBot="1" x14ac:dyDescent="0.4">
      <c r="A329" s="292">
        <v>38</v>
      </c>
      <c r="B329" s="121" t="s">
        <v>141</v>
      </c>
      <c r="C329" s="127">
        <v>39.729999999999997</v>
      </c>
      <c r="D329" s="127">
        <v>36.479999999999997</v>
      </c>
      <c r="E329" s="117">
        <v>55.99</v>
      </c>
      <c r="F329" s="117">
        <v>66.97</v>
      </c>
      <c r="G329" s="117">
        <v>0</v>
      </c>
      <c r="H329" s="117">
        <v>0</v>
      </c>
    </row>
    <row r="330" spans="1:8" ht="16.5" thickTop="1" thickBot="1" x14ac:dyDescent="0.4">
      <c r="A330" s="293"/>
      <c r="B330" s="126" t="s">
        <v>91</v>
      </c>
      <c r="C330" s="124">
        <v>34.17</v>
      </c>
      <c r="D330" s="124">
        <v>31.37</v>
      </c>
      <c r="E330" s="125">
        <v>48.15</v>
      </c>
      <c r="F330" s="125">
        <v>57.59</v>
      </c>
      <c r="G330" s="125">
        <v>0</v>
      </c>
      <c r="H330" s="125">
        <v>0</v>
      </c>
    </row>
    <row r="331" spans="1:8" ht="16" thickBot="1" x14ac:dyDescent="0.4">
      <c r="A331" s="292">
        <v>39</v>
      </c>
      <c r="B331" s="121" t="s">
        <v>142</v>
      </c>
      <c r="C331" s="127">
        <v>3.23</v>
      </c>
      <c r="D331" s="127">
        <v>4.87</v>
      </c>
      <c r="E331" s="117">
        <v>4.1399999999999997</v>
      </c>
      <c r="F331" s="117">
        <v>2.6</v>
      </c>
      <c r="G331" s="117">
        <v>5.33</v>
      </c>
      <c r="H331" s="117">
        <v>4.4800000000000004</v>
      </c>
    </row>
    <row r="332" spans="1:8" ht="16.5" thickTop="1" thickBot="1" x14ac:dyDescent="0.4">
      <c r="A332" s="294"/>
      <c r="B332" s="128" t="s">
        <v>91</v>
      </c>
      <c r="C332" s="127">
        <v>2.78</v>
      </c>
      <c r="D332" s="127">
        <v>4.1900000000000004</v>
      </c>
      <c r="E332" s="117">
        <v>3.56</v>
      </c>
      <c r="F332" s="117">
        <v>2.2400000000000002</v>
      </c>
      <c r="G332" s="117">
        <v>4.58</v>
      </c>
      <c r="H332" s="117">
        <v>3.85</v>
      </c>
    </row>
    <row r="333" spans="1:8" ht="16.5" thickTop="1" thickBot="1" x14ac:dyDescent="0.4">
      <c r="A333" s="295">
        <v>40</v>
      </c>
      <c r="B333" s="123" t="s">
        <v>143</v>
      </c>
      <c r="C333" s="124">
        <v>7.81</v>
      </c>
      <c r="D333" s="124">
        <v>7.09</v>
      </c>
      <c r="E333" s="125">
        <v>6.88</v>
      </c>
      <c r="F333" s="125">
        <v>6.34</v>
      </c>
      <c r="G333" s="125">
        <v>4.43</v>
      </c>
      <c r="H333" s="125">
        <v>5.5</v>
      </c>
    </row>
    <row r="334" spans="1:8" ht="16" thickBot="1" x14ac:dyDescent="0.4">
      <c r="A334" s="294"/>
      <c r="B334" s="128" t="s">
        <v>91</v>
      </c>
      <c r="C334" s="127">
        <v>6.72</v>
      </c>
      <c r="D334" s="127">
        <v>6.1</v>
      </c>
      <c r="E334" s="117">
        <v>5.92</v>
      </c>
      <c r="F334" s="117">
        <v>5.45</v>
      </c>
      <c r="G334" s="117">
        <v>3.81</v>
      </c>
      <c r="H334" s="117">
        <v>4.7300000000000004</v>
      </c>
    </row>
    <row r="335" spans="1:8" ht="16.5" thickTop="1" thickBot="1" x14ac:dyDescent="0.4">
      <c r="A335" s="295">
        <v>41</v>
      </c>
      <c r="B335" s="123" t="s">
        <v>144</v>
      </c>
      <c r="C335" s="124">
        <v>103</v>
      </c>
      <c r="D335" s="124">
        <v>105.7</v>
      </c>
      <c r="E335" s="125">
        <v>108.81</v>
      </c>
      <c r="F335" s="125">
        <v>107.3</v>
      </c>
      <c r="G335" s="125">
        <v>95.94</v>
      </c>
      <c r="H335" s="125">
        <v>95.94</v>
      </c>
    </row>
    <row r="336" spans="1:8" ht="16" thickBot="1" x14ac:dyDescent="0.4">
      <c r="A336" s="294"/>
      <c r="B336" s="128" t="s">
        <v>90</v>
      </c>
      <c r="C336" s="127">
        <v>119.8</v>
      </c>
      <c r="D336" s="127">
        <v>122.86</v>
      </c>
      <c r="E336" s="117">
        <v>126.5</v>
      </c>
      <c r="F336" s="117">
        <v>124.79</v>
      </c>
      <c r="G336" s="117">
        <v>111.6</v>
      </c>
      <c r="H336" s="117">
        <v>111.6</v>
      </c>
    </row>
    <row r="337" spans="1:8" ht="17" thickTop="1" x14ac:dyDescent="0.35">
      <c r="A337" s="161"/>
      <c r="B337" s="59" t="s">
        <v>145</v>
      </c>
      <c r="C337" s="97"/>
      <c r="D337" s="137"/>
      <c r="E337" s="139"/>
      <c r="F337" s="139"/>
      <c r="G337" s="139"/>
      <c r="H337" s="139"/>
    </row>
    <row r="338" spans="1:8" ht="16" thickBot="1" x14ac:dyDescent="0.4">
      <c r="A338" s="135">
        <v>42</v>
      </c>
      <c r="B338" s="123" t="s">
        <v>146</v>
      </c>
      <c r="C338" s="124">
        <v>37.32</v>
      </c>
      <c r="D338" s="124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</row>
    <row r="339" spans="1:8" ht="19" x14ac:dyDescent="0.35">
      <c r="A339" s="287">
        <v>43</v>
      </c>
      <c r="B339" s="296" t="s">
        <v>162</v>
      </c>
      <c r="C339" s="162"/>
      <c r="D339" s="163"/>
      <c r="E339" s="164"/>
      <c r="F339" s="164"/>
      <c r="G339" s="164"/>
      <c r="H339" s="164"/>
    </row>
    <row r="340" spans="1:8" ht="16" thickBot="1" x14ac:dyDescent="0.4">
      <c r="A340" s="290"/>
      <c r="B340" s="297"/>
      <c r="C340" s="124">
        <v>150</v>
      </c>
      <c r="D340" s="124">
        <v>150</v>
      </c>
      <c r="E340" s="125">
        <v>150</v>
      </c>
      <c r="F340" s="125">
        <v>150</v>
      </c>
      <c r="G340" s="125">
        <v>150</v>
      </c>
      <c r="H340" s="125">
        <v>150</v>
      </c>
    </row>
    <row r="341" spans="1:8" ht="18.5" x14ac:dyDescent="0.35">
      <c r="A341" s="287">
        <v>44</v>
      </c>
      <c r="B341" s="59" t="s">
        <v>147</v>
      </c>
      <c r="C341" s="162"/>
      <c r="D341" s="162"/>
      <c r="E341" s="165"/>
      <c r="F341" s="165"/>
      <c r="G341" s="165"/>
      <c r="H341" s="165"/>
    </row>
    <row r="342" spans="1:8" ht="16" thickBot="1" x14ac:dyDescent="0.4">
      <c r="A342" s="288"/>
      <c r="B342" s="121" t="s">
        <v>97</v>
      </c>
      <c r="C342" s="127">
        <v>15.45</v>
      </c>
      <c r="D342" s="127">
        <v>15.85</v>
      </c>
      <c r="E342" s="117">
        <v>16.32</v>
      </c>
      <c r="F342" s="117">
        <v>16.100000000000001</v>
      </c>
      <c r="G342" s="117">
        <v>14.39</v>
      </c>
      <c r="H342" s="117">
        <v>14.39</v>
      </c>
    </row>
    <row r="343" spans="1:8" ht="18.5" thickTop="1" x14ac:dyDescent="0.35">
      <c r="A343" s="289">
        <v>45</v>
      </c>
      <c r="B343" s="59" t="s">
        <v>147</v>
      </c>
      <c r="C343" s="145"/>
      <c r="D343" s="145"/>
      <c r="E343" s="146"/>
      <c r="F343" s="146"/>
      <c r="G343" s="146"/>
      <c r="H343" s="146"/>
    </row>
    <row r="344" spans="1:8" ht="16" thickBot="1" x14ac:dyDescent="0.4">
      <c r="A344" s="290"/>
      <c r="B344" s="123" t="s">
        <v>98</v>
      </c>
      <c r="C344" s="124">
        <v>21.87</v>
      </c>
      <c r="D344" s="124">
        <v>21.47</v>
      </c>
      <c r="E344" s="125">
        <v>21.06</v>
      </c>
      <c r="F344" s="125">
        <v>20.62</v>
      </c>
      <c r="G344" s="125">
        <v>19.55</v>
      </c>
      <c r="H344" s="125">
        <v>16.18</v>
      </c>
    </row>
    <row r="345" spans="1:8" ht="16.5" x14ac:dyDescent="0.35">
      <c r="A345" s="287">
        <v>46</v>
      </c>
      <c r="B345" s="96"/>
      <c r="C345" s="137"/>
      <c r="D345" s="137"/>
      <c r="E345" s="139"/>
      <c r="F345" s="139"/>
      <c r="G345" s="139"/>
      <c r="H345" s="139"/>
    </row>
    <row r="346" spans="1:8" ht="31" x14ac:dyDescent="0.35">
      <c r="A346" s="291"/>
      <c r="B346" s="59" t="s">
        <v>148</v>
      </c>
      <c r="C346" s="137"/>
      <c r="D346" s="138"/>
      <c r="E346" s="119"/>
      <c r="F346" s="119"/>
      <c r="G346" s="119"/>
      <c r="H346" s="119"/>
    </row>
    <row r="347" spans="1:8" ht="16" thickBot="1" x14ac:dyDescent="0.4">
      <c r="A347" s="288"/>
      <c r="B347" s="147"/>
      <c r="C347" s="127">
        <v>186.8</v>
      </c>
      <c r="D347" s="127">
        <v>181.2</v>
      </c>
      <c r="E347" s="117">
        <v>169.7</v>
      </c>
      <c r="F347" s="117">
        <v>166.9</v>
      </c>
      <c r="G347" s="117">
        <v>169.5</v>
      </c>
      <c r="H347" s="117">
        <v>159.5</v>
      </c>
    </row>
    <row r="348" spans="1:8" ht="16.5" thickTop="1" thickBot="1" x14ac:dyDescent="0.4">
      <c r="A348" s="135">
        <v>47</v>
      </c>
      <c r="B348" s="123" t="s">
        <v>149</v>
      </c>
      <c r="C348" s="124">
        <v>65.760000000000005</v>
      </c>
      <c r="D348" s="124">
        <v>67.8</v>
      </c>
      <c r="E348" s="125">
        <v>72.42</v>
      </c>
      <c r="F348" s="125">
        <v>73.61</v>
      </c>
      <c r="G348" s="125">
        <v>72.489999999999995</v>
      </c>
      <c r="H348" s="125">
        <v>77.03</v>
      </c>
    </row>
    <row r="349" spans="1:8" ht="16" thickBot="1" x14ac:dyDescent="0.4">
      <c r="A349" s="134">
        <v>48</v>
      </c>
      <c r="B349" s="121" t="s">
        <v>150</v>
      </c>
      <c r="C349" s="127">
        <v>0.49399999999999999</v>
      </c>
      <c r="D349" s="127">
        <v>0.49099999999999999</v>
      </c>
      <c r="E349" s="117">
        <v>0.495</v>
      </c>
      <c r="F349" s="117">
        <v>0.498</v>
      </c>
      <c r="G349" s="117">
        <v>0.50800000000000001</v>
      </c>
      <c r="H349" s="117">
        <v>0.47599999999999998</v>
      </c>
    </row>
    <row r="350" spans="1:8" ht="15" thickTop="1" x14ac:dyDescent="0.35"/>
    <row r="351" spans="1:8" x14ac:dyDescent="0.35">
      <c r="A351" s="166"/>
    </row>
    <row r="352" spans="1:8" ht="16" x14ac:dyDescent="0.35">
      <c r="A352" s="167"/>
    </row>
    <row r="353" spans="10:10" x14ac:dyDescent="0.35">
      <c r="J353" s="42"/>
    </row>
    <row r="354" spans="10:10" x14ac:dyDescent="0.35">
      <c r="J354" s="42"/>
    </row>
    <row r="355" spans="10:10" x14ac:dyDescent="0.35">
      <c r="J355" s="42"/>
    </row>
    <row r="356" spans="10:10" x14ac:dyDescent="0.35">
      <c r="J356" s="42"/>
    </row>
    <row r="357" spans="10:10" x14ac:dyDescent="0.35">
      <c r="J357" s="42"/>
    </row>
    <row r="358" spans="10:10" x14ac:dyDescent="0.35">
      <c r="J358" s="42"/>
    </row>
    <row r="359" spans="10:10" x14ac:dyDescent="0.35">
      <c r="J359" s="42"/>
    </row>
    <row r="360" spans="10:10" x14ac:dyDescent="0.35">
      <c r="J360" s="42"/>
    </row>
    <row r="361" spans="10:10" x14ac:dyDescent="0.35">
      <c r="J361" s="42"/>
    </row>
    <row r="362" spans="10:10" x14ac:dyDescent="0.35">
      <c r="J362" s="42"/>
    </row>
    <row r="363" spans="10:10" x14ac:dyDescent="0.35">
      <c r="J363" s="42"/>
    </row>
    <row r="364" spans="10:10" x14ac:dyDescent="0.35">
      <c r="J364" s="42"/>
    </row>
    <row r="365" spans="10:10" x14ac:dyDescent="0.35">
      <c r="J365" s="42"/>
    </row>
    <row r="366" spans="10:10" x14ac:dyDescent="0.35">
      <c r="J366" s="42"/>
    </row>
    <row r="367" spans="10:10" x14ac:dyDescent="0.35">
      <c r="J367" s="42"/>
    </row>
    <row r="368" spans="10:10" x14ac:dyDescent="0.35">
      <c r="J368" s="42"/>
    </row>
    <row r="369" spans="10:10" x14ac:dyDescent="0.35">
      <c r="J369" s="42"/>
    </row>
    <row r="370" spans="10:10" x14ac:dyDescent="0.35">
      <c r="J370" s="42"/>
    </row>
    <row r="371" spans="10:10" x14ac:dyDescent="0.35">
      <c r="J371" s="42"/>
    </row>
    <row r="372" spans="10:10" x14ac:dyDescent="0.35">
      <c r="J372" s="42"/>
    </row>
    <row r="373" spans="10:10" x14ac:dyDescent="0.35">
      <c r="J373" s="42"/>
    </row>
    <row r="374" spans="10:10" x14ac:dyDescent="0.35">
      <c r="J374" s="42"/>
    </row>
    <row r="375" spans="10:10" x14ac:dyDescent="0.35">
      <c r="J375" s="42"/>
    </row>
    <row r="376" spans="10:10" x14ac:dyDescent="0.35">
      <c r="J376" s="42"/>
    </row>
    <row r="377" spans="10:10" x14ac:dyDescent="0.35">
      <c r="J377" s="42"/>
    </row>
    <row r="378" spans="10:10" x14ac:dyDescent="0.35">
      <c r="J378" s="42"/>
    </row>
    <row r="379" spans="10:10" x14ac:dyDescent="0.35">
      <c r="J379" s="42"/>
    </row>
    <row r="380" spans="10:10" x14ac:dyDescent="0.35">
      <c r="J380" s="42"/>
    </row>
    <row r="381" spans="10:10" x14ac:dyDescent="0.35">
      <c r="J381" s="42"/>
    </row>
    <row r="382" spans="10:10" x14ac:dyDescent="0.35">
      <c r="J382" s="42"/>
    </row>
    <row r="383" spans="10:10" x14ac:dyDescent="0.35">
      <c r="J383" s="42"/>
    </row>
    <row r="384" spans="10:10" x14ac:dyDescent="0.35">
      <c r="J384" s="42"/>
    </row>
    <row r="385" spans="10:10" x14ac:dyDescent="0.35">
      <c r="J385" s="42"/>
    </row>
    <row r="386" spans="10:10" x14ac:dyDescent="0.35">
      <c r="J386" s="42"/>
    </row>
    <row r="387" spans="10:10" x14ac:dyDescent="0.35">
      <c r="J387" s="42"/>
    </row>
    <row r="388" spans="10:10" x14ac:dyDescent="0.35">
      <c r="J388" s="42"/>
    </row>
    <row r="389" spans="10:10" x14ac:dyDescent="0.35">
      <c r="J389" s="42"/>
    </row>
    <row r="390" spans="10:10" x14ac:dyDescent="0.35">
      <c r="J390" s="42"/>
    </row>
    <row r="391" spans="10:10" x14ac:dyDescent="0.35">
      <c r="J391" s="42"/>
    </row>
    <row r="392" spans="10:10" x14ac:dyDescent="0.35">
      <c r="J392" s="42"/>
    </row>
    <row r="393" spans="10:10" x14ac:dyDescent="0.35">
      <c r="J393" s="42"/>
    </row>
    <row r="394" spans="10:10" x14ac:dyDescent="0.35">
      <c r="J394" s="42"/>
    </row>
    <row r="395" spans="10:10" x14ac:dyDescent="0.35">
      <c r="J395" s="42"/>
    </row>
    <row r="396" spans="10:10" x14ac:dyDescent="0.35">
      <c r="J396" s="42"/>
    </row>
    <row r="397" spans="10:10" x14ac:dyDescent="0.35">
      <c r="J397" s="42"/>
    </row>
    <row r="398" spans="10:10" x14ac:dyDescent="0.35">
      <c r="J398" s="42"/>
    </row>
    <row r="399" spans="10:10" x14ac:dyDescent="0.35">
      <c r="J399" s="42"/>
    </row>
    <row r="400" spans="10:10" x14ac:dyDescent="0.35">
      <c r="J400" s="42"/>
    </row>
    <row r="401" spans="10:10" x14ac:dyDescent="0.35">
      <c r="J401" s="42"/>
    </row>
    <row r="402" spans="10:10" x14ac:dyDescent="0.35">
      <c r="J402" s="42"/>
    </row>
    <row r="403" spans="10:10" x14ac:dyDescent="0.35">
      <c r="J403" s="42"/>
    </row>
    <row r="404" spans="10:10" x14ac:dyDescent="0.35">
      <c r="J404" s="42"/>
    </row>
    <row r="405" spans="10:10" x14ac:dyDescent="0.35">
      <c r="J405" s="42"/>
    </row>
    <row r="406" spans="10:10" x14ac:dyDescent="0.35">
      <c r="J406" s="42"/>
    </row>
    <row r="407" spans="10:10" x14ac:dyDescent="0.35">
      <c r="J407" s="42"/>
    </row>
    <row r="408" spans="10:10" x14ac:dyDescent="0.35">
      <c r="J408" s="42"/>
    </row>
    <row r="409" spans="10:10" x14ac:dyDescent="0.35">
      <c r="J409" s="42"/>
    </row>
    <row r="410" spans="10:10" x14ac:dyDescent="0.35">
      <c r="J410" s="42"/>
    </row>
    <row r="411" spans="10:10" x14ac:dyDescent="0.35">
      <c r="J411" s="42"/>
    </row>
    <row r="412" spans="10:10" x14ac:dyDescent="0.35">
      <c r="J412" s="42"/>
    </row>
    <row r="413" spans="10:10" x14ac:dyDescent="0.35">
      <c r="J413" s="42"/>
    </row>
    <row r="414" spans="10:10" x14ac:dyDescent="0.35">
      <c r="J414" s="42"/>
    </row>
    <row r="415" spans="10:10" x14ac:dyDescent="0.35">
      <c r="J415" s="42"/>
    </row>
    <row r="416" spans="10:10" x14ac:dyDescent="0.35">
      <c r="J416" s="42"/>
    </row>
    <row r="417" spans="10:10" ht="17.25" customHeight="1" x14ac:dyDescent="0.35">
      <c r="J417" s="42"/>
    </row>
    <row r="418" spans="10:10" x14ac:dyDescent="0.35">
      <c r="J418" s="42"/>
    </row>
    <row r="419" spans="10:10" x14ac:dyDescent="0.35">
      <c r="J419" s="42"/>
    </row>
    <row r="420" spans="10:10" x14ac:dyDescent="0.35">
      <c r="J420" s="42"/>
    </row>
    <row r="421" spans="10:10" x14ac:dyDescent="0.35">
      <c r="J421" s="42"/>
    </row>
    <row r="422" spans="10:10" x14ac:dyDescent="0.35">
      <c r="J422" s="42"/>
    </row>
    <row r="423" spans="10:10" x14ac:dyDescent="0.35">
      <c r="J423" s="42"/>
    </row>
    <row r="424" spans="10:10" x14ac:dyDescent="0.35">
      <c r="J424" s="42"/>
    </row>
    <row r="425" spans="10:10" x14ac:dyDescent="0.35">
      <c r="J425" s="42"/>
    </row>
    <row r="426" spans="10:10" x14ac:dyDescent="0.35">
      <c r="J426" s="42"/>
    </row>
    <row r="427" spans="10:10" x14ac:dyDescent="0.35">
      <c r="J427" s="42"/>
    </row>
    <row r="428" spans="10:10" x14ac:dyDescent="0.35">
      <c r="J428" s="42"/>
    </row>
    <row r="429" spans="10:10" x14ac:dyDescent="0.35">
      <c r="J429" s="42"/>
    </row>
    <row r="430" spans="10:10" x14ac:dyDescent="0.35">
      <c r="J430" s="42"/>
    </row>
    <row r="431" spans="10:10" x14ac:dyDescent="0.35">
      <c r="J431" s="42"/>
    </row>
    <row r="432" spans="10:10" x14ac:dyDescent="0.35">
      <c r="J432" s="42"/>
    </row>
    <row r="433" spans="10:10" x14ac:dyDescent="0.35">
      <c r="J433" s="42"/>
    </row>
    <row r="434" spans="10:10" x14ac:dyDescent="0.35">
      <c r="J434" s="42"/>
    </row>
    <row r="435" spans="10:10" x14ac:dyDescent="0.35">
      <c r="J435" s="42"/>
    </row>
    <row r="436" spans="10:10" x14ac:dyDescent="0.35">
      <c r="J436" s="42"/>
    </row>
    <row r="437" spans="10:10" x14ac:dyDescent="0.35">
      <c r="J437" s="42"/>
    </row>
    <row r="438" spans="10:10" x14ac:dyDescent="0.35">
      <c r="J438" s="42"/>
    </row>
    <row r="439" spans="10:10" x14ac:dyDescent="0.35">
      <c r="J439" s="42"/>
    </row>
    <row r="440" spans="10:10" x14ac:dyDescent="0.35">
      <c r="J440" s="42"/>
    </row>
    <row r="441" spans="10:10" x14ac:dyDescent="0.35">
      <c r="J441" s="42"/>
    </row>
    <row r="442" spans="10:10" x14ac:dyDescent="0.35">
      <c r="J442" s="42"/>
    </row>
    <row r="443" spans="10:10" x14ac:dyDescent="0.35">
      <c r="J443" s="42"/>
    </row>
    <row r="444" spans="10:10" x14ac:dyDescent="0.35">
      <c r="J444" s="42"/>
    </row>
    <row r="445" spans="10:10" x14ac:dyDescent="0.35">
      <c r="J445" s="42"/>
    </row>
    <row r="446" spans="10:10" x14ac:dyDescent="0.35">
      <c r="J446" s="42"/>
    </row>
    <row r="447" spans="10:10" x14ac:dyDescent="0.35">
      <c r="J447" s="42"/>
    </row>
    <row r="448" spans="10:10" x14ac:dyDescent="0.35">
      <c r="J448" s="42"/>
    </row>
    <row r="449" spans="10:10" x14ac:dyDescent="0.35">
      <c r="J449" s="42"/>
    </row>
    <row r="450" spans="10:10" x14ac:dyDescent="0.35">
      <c r="J450" s="42"/>
    </row>
    <row r="451" spans="10:10" x14ac:dyDescent="0.35">
      <c r="J451" s="42"/>
    </row>
    <row r="452" spans="10:10" x14ac:dyDescent="0.35">
      <c r="J452" s="42"/>
    </row>
    <row r="453" spans="10:10" x14ac:dyDescent="0.35">
      <c r="J453" s="42"/>
    </row>
    <row r="454" spans="10:10" x14ac:dyDescent="0.35">
      <c r="J454" s="42"/>
    </row>
    <row r="455" spans="10:10" x14ac:dyDescent="0.35">
      <c r="J455" s="42"/>
    </row>
    <row r="456" spans="10:10" x14ac:dyDescent="0.35">
      <c r="J456" s="42"/>
    </row>
    <row r="457" spans="10:10" x14ac:dyDescent="0.35">
      <c r="J457" s="42"/>
    </row>
    <row r="458" spans="10:10" x14ac:dyDescent="0.35">
      <c r="J458" s="42"/>
    </row>
    <row r="459" spans="10:10" x14ac:dyDescent="0.35">
      <c r="J459" s="42"/>
    </row>
    <row r="460" spans="10:10" x14ac:dyDescent="0.35">
      <c r="J460" s="42"/>
    </row>
    <row r="461" spans="10:10" x14ac:dyDescent="0.35">
      <c r="J461" s="42"/>
    </row>
    <row r="462" spans="10:10" x14ac:dyDescent="0.35">
      <c r="J462" s="42"/>
    </row>
    <row r="463" spans="10:10" x14ac:dyDescent="0.35">
      <c r="J463" s="42"/>
    </row>
    <row r="464" spans="10:10" x14ac:dyDescent="0.35">
      <c r="J464" s="42"/>
    </row>
    <row r="465" spans="10:10" x14ac:dyDescent="0.35">
      <c r="J465" s="42"/>
    </row>
    <row r="466" spans="10:10" x14ac:dyDescent="0.35">
      <c r="J466" s="42"/>
    </row>
    <row r="467" spans="10:10" x14ac:dyDescent="0.35">
      <c r="J467" s="42"/>
    </row>
    <row r="468" spans="10:10" x14ac:dyDescent="0.35">
      <c r="J468" s="42"/>
    </row>
    <row r="469" spans="10:10" x14ac:dyDescent="0.35">
      <c r="J469" s="42"/>
    </row>
    <row r="470" spans="10:10" x14ac:dyDescent="0.35">
      <c r="J470" s="42"/>
    </row>
    <row r="471" spans="10:10" x14ac:dyDescent="0.35">
      <c r="J471" s="42"/>
    </row>
    <row r="472" spans="10:10" x14ac:dyDescent="0.35">
      <c r="J472" s="42"/>
    </row>
    <row r="473" spans="10:10" x14ac:dyDescent="0.35">
      <c r="J473" s="42"/>
    </row>
    <row r="474" spans="10:10" x14ac:dyDescent="0.35">
      <c r="J474" s="42"/>
    </row>
    <row r="475" spans="10:10" x14ac:dyDescent="0.35">
      <c r="J475" s="42"/>
    </row>
    <row r="476" spans="10:10" x14ac:dyDescent="0.35">
      <c r="J476" s="42"/>
    </row>
    <row r="477" spans="10:10" x14ac:dyDescent="0.35">
      <c r="J477" s="42"/>
    </row>
    <row r="478" spans="10:10" x14ac:dyDescent="0.35">
      <c r="J478" s="42"/>
    </row>
    <row r="479" spans="10:10" x14ac:dyDescent="0.35">
      <c r="J479" s="42"/>
    </row>
    <row r="480" spans="10:10" x14ac:dyDescent="0.35">
      <c r="J480" s="42"/>
    </row>
    <row r="481" spans="10:10" x14ac:dyDescent="0.35">
      <c r="J481" s="42"/>
    </row>
    <row r="482" spans="10:10" x14ac:dyDescent="0.35">
      <c r="J482" s="42"/>
    </row>
    <row r="483" spans="10:10" x14ac:dyDescent="0.35">
      <c r="J483" s="42"/>
    </row>
    <row r="484" spans="10:10" x14ac:dyDescent="0.35">
      <c r="J484" s="42"/>
    </row>
    <row r="485" spans="10:10" x14ac:dyDescent="0.35">
      <c r="J485" s="42"/>
    </row>
    <row r="486" spans="10:10" x14ac:dyDescent="0.35">
      <c r="J486" s="42"/>
    </row>
    <row r="487" spans="10:10" x14ac:dyDescent="0.35">
      <c r="J487" s="42"/>
    </row>
    <row r="488" spans="10:10" x14ac:dyDescent="0.35">
      <c r="J488" s="42"/>
    </row>
    <row r="489" spans="10:10" x14ac:dyDescent="0.35">
      <c r="J489" s="42"/>
    </row>
    <row r="490" spans="10:10" x14ac:dyDescent="0.35">
      <c r="J490" s="42"/>
    </row>
    <row r="491" spans="10:10" x14ac:dyDescent="0.35">
      <c r="J491" s="42"/>
    </row>
    <row r="492" spans="10:10" x14ac:dyDescent="0.35">
      <c r="J492" s="42"/>
    </row>
    <row r="493" spans="10:10" x14ac:dyDescent="0.35">
      <c r="J493" s="42"/>
    </row>
    <row r="494" spans="10:10" x14ac:dyDescent="0.35">
      <c r="J494" s="42"/>
    </row>
    <row r="495" spans="10:10" x14ac:dyDescent="0.35">
      <c r="J495" s="42"/>
    </row>
    <row r="496" spans="10:10" x14ac:dyDescent="0.35">
      <c r="J496" s="42"/>
    </row>
    <row r="497" spans="10:10" x14ac:dyDescent="0.35">
      <c r="J497" s="42"/>
    </row>
    <row r="498" spans="10:10" x14ac:dyDescent="0.35">
      <c r="J498" s="42"/>
    </row>
    <row r="499" spans="10:10" x14ac:dyDescent="0.35">
      <c r="J499" s="42"/>
    </row>
    <row r="500" spans="10:10" x14ac:dyDescent="0.35">
      <c r="J500" s="42"/>
    </row>
    <row r="501" spans="10:10" x14ac:dyDescent="0.35">
      <c r="J501" s="42"/>
    </row>
    <row r="502" spans="10:10" x14ac:dyDescent="0.35">
      <c r="J502" s="42"/>
    </row>
    <row r="503" spans="10:10" x14ac:dyDescent="0.35">
      <c r="J503" s="42"/>
    </row>
    <row r="504" spans="10:10" x14ac:dyDescent="0.35">
      <c r="J504" s="42"/>
    </row>
    <row r="505" spans="10:10" x14ac:dyDescent="0.35">
      <c r="J505" s="42"/>
    </row>
    <row r="506" spans="10:10" x14ac:dyDescent="0.35">
      <c r="J506" s="42"/>
    </row>
    <row r="507" spans="10:10" x14ac:dyDescent="0.35">
      <c r="J507" s="42"/>
    </row>
    <row r="508" spans="10:10" x14ac:dyDescent="0.35">
      <c r="J508" s="42"/>
    </row>
    <row r="509" spans="10:10" x14ac:dyDescent="0.35">
      <c r="J509" s="42"/>
    </row>
    <row r="510" spans="10:10" x14ac:dyDescent="0.35">
      <c r="J510" s="42"/>
    </row>
    <row r="511" spans="10:10" x14ac:dyDescent="0.35">
      <c r="J511" s="42"/>
    </row>
    <row r="512" spans="10:10" x14ac:dyDescent="0.35">
      <c r="J512" s="42"/>
    </row>
    <row r="513" spans="10:10" x14ac:dyDescent="0.35">
      <c r="J513" s="42"/>
    </row>
    <row r="514" spans="10:10" x14ac:dyDescent="0.35">
      <c r="J514" s="42"/>
    </row>
    <row r="515" spans="10:10" x14ac:dyDescent="0.35">
      <c r="J515" s="42"/>
    </row>
    <row r="516" spans="10:10" x14ac:dyDescent="0.35">
      <c r="J516" s="42"/>
    </row>
    <row r="517" spans="10:10" x14ac:dyDescent="0.35">
      <c r="J517" s="42"/>
    </row>
    <row r="518" spans="10:10" x14ac:dyDescent="0.35">
      <c r="J518" s="42"/>
    </row>
    <row r="519" spans="10:10" x14ac:dyDescent="0.35">
      <c r="J519" s="42"/>
    </row>
    <row r="520" spans="10:10" x14ac:dyDescent="0.35">
      <c r="J520" s="42"/>
    </row>
    <row r="521" spans="10:10" x14ac:dyDescent="0.35">
      <c r="J521" s="42"/>
    </row>
    <row r="522" spans="10:10" x14ac:dyDescent="0.35">
      <c r="J522" s="42"/>
    </row>
    <row r="523" spans="10:10" x14ac:dyDescent="0.35">
      <c r="J523" s="42"/>
    </row>
    <row r="524" spans="10:10" x14ac:dyDescent="0.35">
      <c r="J524" s="42"/>
    </row>
    <row r="525" spans="10:10" x14ac:dyDescent="0.35">
      <c r="J525" s="42"/>
    </row>
    <row r="526" spans="10:10" x14ac:dyDescent="0.35">
      <c r="J526" s="42"/>
    </row>
    <row r="527" spans="10:10" x14ac:dyDescent="0.35">
      <c r="J527" s="42"/>
    </row>
    <row r="528" spans="10:10" x14ac:dyDescent="0.35">
      <c r="J528" s="42"/>
    </row>
    <row r="529" spans="10:10" x14ac:dyDescent="0.35">
      <c r="J529" s="42"/>
    </row>
    <row r="530" spans="10:10" x14ac:dyDescent="0.35">
      <c r="J530" s="42"/>
    </row>
    <row r="531" spans="10:10" x14ac:dyDescent="0.35">
      <c r="J531" s="42"/>
    </row>
    <row r="532" spans="10:10" x14ac:dyDescent="0.35">
      <c r="J532" s="42"/>
    </row>
    <row r="533" spans="10:10" x14ac:dyDescent="0.35">
      <c r="J533" s="42"/>
    </row>
    <row r="534" spans="10:10" x14ac:dyDescent="0.35">
      <c r="J534" s="42"/>
    </row>
    <row r="535" spans="10:10" x14ac:dyDescent="0.35">
      <c r="J535" s="42"/>
    </row>
    <row r="536" spans="10:10" x14ac:dyDescent="0.35">
      <c r="J536" s="42"/>
    </row>
    <row r="537" spans="10:10" x14ac:dyDescent="0.35">
      <c r="J537" s="42"/>
    </row>
    <row r="538" spans="10:10" x14ac:dyDescent="0.35">
      <c r="J538" s="42"/>
    </row>
    <row r="539" spans="10:10" x14ac:dyDescent="0.35">
      <c r="J539" s="42"/>
    </row>
    <row r="540" spans="10:10" x14ac:dyDescent="0.35">
      <c r="J540" s="42"/>
    </row>
    <row r="541" spans="10:10" x14ac:dyDescent="0.35">
      <c r="J541" s="42"/>
    </row>
    <row r="542" spans="10:10" x14ac:dyDescent="0.35">
      <c r="J542" s="42"/>
    </row>
    <row r="543" spans="10:10" x14ac:dyDescent="0.35">
      <c r="J543" s="42"/>
    </row>
    <row r="544" spans="10:10" x14ac:dyDescent="0.35">
      <c r="J544" s="42"/>
    </row>
    <row r="545" spans="10:10" x14ac:dyDescent="0.35">
      <c r="J545" s="42"/>
    </row>
    <row r="546" spans="10:10" x14ac:dyDescent="0.35">
      <c r="J546" s="42"/>
    </row>
    <row r="547" spans="10:10" x14ac:dyDescent="0.35">
      <c r="J547" s="42"/>
    </row>
    <row r="548" spans="10:10" x14ac:dyDescent="0.35">
      <c r="J548" s="42"/>
    </row>
    <row r="549" spans="10:10" x14ac:dyDescent="0.35">
      <c r="J549" s="42"/>
    </row>
    <row r="550" spans="10:10" x14ac:dyDescent="0.35">
      <c r="J550" s="42"/>
    </row>
    <row r="551" spans="10:10" x14ac:dyDescent="0.35">
      <c r="J551" s="42"/>
    </row>
    <row r="552" spans="10:10" x14ac:dyDescent="0.35">
      <c r="J552" s="42"/>
    </row>
    <row r="553" spans="10:10" x14ac:dyDescent="0.35">
      <c r="J553" s="42"/>
    </row>
    <row r="554" spans="10:10" x14ac:dyDescent="0.35">
      <c r="J554" s="42"/>
    </row>
    <row r="555" spans="10:10" x14ac:dyDescent="0.35">
      <c r="J555" s="42"/>
    </row>
    <row r="556" spans="10:10" x14ac:dyDescent="0.35">
      <c r="J556" s="42"/>
    </row>
    <row r="557" spans="10:10" x14ac:dyDescent="0.35">
      <c r="J557" s="42"/>
    </row>
    <row r="558" spans="10:10" x14ac:dyDescent="0.35">
      <c r="J558" s="42"/>
    </row>
    <row r="559" spans="10:10" x14ac:dyDescent="0.35">
      <c r="J559" s="42"/>
    </row>
    <row r="560" spans="10:10" x14ac:dyDescent="0.35">
      <c r="J560" s="42"/>
    </row>
    <row r="561" spans="10:10" x14ac:dyDescent="0.35">
      <c r="J561" s="42"/>
    </row>
    <row r="562" spans="10:10" x14ac:dyDescent="0.35">
      <c r="J562" s="42"/>
    </row>
    <row r="563" spans="10:10" x14ac:dyDescent="0.35">
      <c r="J563" s="42"/>
    </row>
    <row r="564" spans="10:10" x14ac:dyDescent="0.35">
      <c r="J564" s="42"/>
    </row>
    <row r="565" spans="10:10" x14ac:dyDescent="0.35">
      <c r="J565" s="42"/>
    </row>
    <row r="566" spans="10:10" x14ac:dyDescent="0.35">
      <c r="J566" s="42"/>
    </row>
    <row r="567" spans="10:10" x14ac:dyDescent="0.35">
      <c r="J567" s="42"/>
    </row>
    <row r="568" spans="10:10" x14ac:dyDescent="0.35">
      <c r="J568" s="42"/>
    </row>
    <row r="569" spans="10:10" x14ac:dyDescent="0.35">
      <c r="J569" s="42"/>
    </row>
    <row r="570" spans="10:10" x14ac:dyDescent="0.35">
      <c r="J570" s="42"/>
    </row>
    <row r="571" spans="10:10" x14ac:dyDescent="0.35">
      <c r="J571" s="42"/>
    </row>
    <row r="572" spans="10:10" x14ac:dyDescent="0.35">
      <c r="J572" s="42"/>
    </row>
    <row r="573" spans="10:10" x14ac:dyDescent="0.35">
      <c r="J573" s="42"/>
    </row>
    <row r="574" spans="10:10" x14ac:dyDescent="0.35">
      <c r="J574" s="42"/>
    </row>
    <row r="575" spans="10:10" x14ac:dyDescent="0.35">
      <c r="J575" s="42"/>
    </row>
    <row r="576" spans="10:10" x14ac:dyDescent="0.35">
      <c r="J576" s="42"/>
    </row>
    <row r="577" spans="10:10" x14ac:dyDescent="0.35">
      <c r="J577" s="42"/>
    </row>
    <row r="578" spans="10:10" x14ac:dyDescent="0.35">
      <c r="J578" s="42"/>
    </row>
    <row r="579" spans="10:10" x14ac:dyDescent="0.35">
      <c r="J579" s="42"/>
    </row>
    <row r="580" spans="10:10" x14ac:dyDescent="0.35">
      <c r="J580" s="42"/>
    </row>
    <row r="581" spans="10:10" x14ac:dyDescent="0.35">
      <c r="J581" s="42"/>
    </row>
    <row r="582" spans="10:10" x14ac:dyDescent="0.35">
      <c r="J582" s="42"/>
    </row>
    <row r="583" spans="10:10" x14ac:dyDescent="0.35">
      <c r="J583" s="42"/>
    </row>
    <row r="584" spans="10:10" x14ac:dyDescent="0.35">
      <c r="J584" s="42"/>
    </row>
    <row r="585" spans="10:10" x14ac:dyDescent="0.35">
      <c r="J585" s="42"/>
    </row>
    <row r="586" spans="10:10" x14ac:dyDescent="0.35">
      <c r="J586" s="42"/>
    </row>
    <row r="587" spans="10:10" x14ac:dyDescent="0.35">
      <c r="J587" s="42"/>
    </row>
    <row r="588" spans="10:10" x14ac:dyDescent="0.35">
      <c r="J588" s="42"/>
    </row>
    <row r="589" spans="10:10" x14ac:dyDescent="0.35">
      <c r="J589" s="42"/>
    </row>
    <row r="590" spans="10:10" x14ac:dyDescent="0.35">
      <c r="J590" s="42"/>
    </row>
    <row r="591" spans="10:10" x14ac:dyDescent="0.35">
      <c r="J591" s="42"/>
    </row>
    <row r="592" spans="10:10" x14ac:dyDescent="0.35">
      <c r="J592" s="42"/>
    </row>
    <row r="593" spans="10:10" x14ac:dyDescent="0.35">
      <c r="J593" s="42"/>
    </row>
    <row r="594" spans="10:10" x14ac:dyDescent="0.35">
      <c r="J594" s="42"/>
    </row>
    <row r="595" spans="10:10" x14ac:dyDescent="0.35">
      <c r="J595" s="42"/>
    </row>
    <row r="596" spans="10:10" x14ac:dyDescent="0.35">
      <c r="J596" s="42"/>
    </row>
    <row r="597" spans="10:10" x14ac:dyDescent="0.35">
      <c r="J597" s="42"/>
    </row>
    <row r="598" spans="10:10" x14ac:dyDescent="0.35">
      <c r="J598" s="42"/>
    </row>
    <row r="599" spans="10:10" x14ac:dyDescent="0.35">
      <c r="J599" s="42"/>
    </row>
    <row r="600" spans="10:10" x14ac:dyDescent="0.35">
      <c r="J600" s="42"/>
    </row>
    <row r="601" spans="10:10" x14ac:dyDescent="0.35">
      <c r="J601" s="42"/>
    </row>
    <row r="602" spans="10:10" x14ac:dyDescent="0.35">
      <c r="J602" s="42"/>
    </row>
    <row r="603" spans="10:10" x14ac:dyDescent="0.35">
      <c r="J603" s="42"/>
    </row>
    <row r="604" spans="10:10" x14ac:dyDescent="0.35">
      <c r="J604" s="42"/>
    </row>
    <row r="605" spans="10:10" x14ac:dyDescent="0.35">
      <c r="J605" s="42"/>
    </row>
    <row r="606" spans="10:10" x14ac:dyDescent="0.35">
      <c r="J606" s="42"/>
    </row>
    <row r="607" spans="10:10" x14ac:dyDescent="0.35">
      <c r="J607" s="42"/>
    </row>
    <row r="608" spans="10:10" x14ac:dyDescent="0.35">
      <c r="J608" s="42"/>
    </row>
    <row r="609" spans="10:10" x14ac:dyDescent="0.35">
      <c r="J609" s="42"/>
    </row>
    <row r="610" spans="10:10" x14ac:dyDescent="0.35">
      <c r="J610" s="42"/>
    </row>
    <row r="611" spans="10:10" x14ac:dyDescent="0.35">
      <c r="J611" s="42"/>
    </row>
    <row r="612" spans="10:10" x14ac:dyDescent="0.35">
      <c r="J612" s="42"/>
    </row>
    <row r="613" spans="10:10" x14ac:dyDescent="0.35">
      <c r="J613" s="42"/>
    </row>
    <row r="614" spans="10:10" x14ac:dyDescent="0.35">
      <c r="J614" s="42"/>
    </row>
    <row r="615" spans="10:10" x14ac:dyDescent="0.35">
      <c r="J615" s="42"/>
    </row>
    <row r="616" spans="10:10" x14ac:dyDescent="0.35">
      <c r="J616" s="42"/>
    </row>
    <row r="617" spans="10:10" x14ac:dyDescent="0.35">
      <c r="J617" s="42"/>
    </row>
    <row r="618" spans="10:10" x14ac:dyDescent="0.35">
      <c r="J618" s="42"/>
    </row>
    <row r="619" spans="10:10" x14ac:dyDescent="0.35">
      <c r="J619" s="42"/>
    </row>
    <row r="620" spans="10:10" x14ac:dyDescent="0.35">
      <c r="J620" s="42"/>
    </row>
    <row r="621" spans="10:10" x14ac:dyDescent="0.35">
      <c r="J621" s="42"/>
    </row>
    <row r="622" spans="10:10" x14ac:dyDescent="0.35">
      <c r="J622" s="42"/>
    </row>
    <row r="623" spans="10:10" x14ac:dyDescent="0.35">
      <c r="J623" s="42"/>
    </row>
    <row r="624" spans="10:10" x14ac:dyDescent="0.35">
      <c r="J624" s="42"/>
    </row>
    <row r="625" spans="10:10" x14ac:dyDescent="0.35">
      <c r="J625" s="42"/>
    </row>
    <row r="626" spans="10:10" x14ac:dyDescent="0.35">
      <c r="J626" s="42"/>
    </row>
    <row r="627" spans="10:10" x14ac:dyDescent="0.35">
      <c r="J627" s="42"/>
    </row>
    <row r="628" spans="10:10" x14ac:dyDescent="0.35">
      <c r="J628" s="42"/>
    </row>
    <row r="629" spans="10:10" x14ac:dyDescent="0.35">
      <c r="J629" s="42"/>
    </row>
    <row r="630" spans="10:10" x14ac:dyDescent="0.35">
      <c r="J630" s="42"/>
    </row>
    <row r="631" spans="10:10" x14ac:dyDescent="0.35">
      <c r="J631" s="42"/>
    </row>
    <row r="632" spans="10:10" x14ac:dyDescent="0.35">
      <c r="J632" s="42"/>
    </row>
    <row r="633" spans="10:10" x14ac:dyDescent="0.35">
      <c r="J633" s="42"/>
    </row>
    <row r="634" spans="10:10" x14ac:dyDescent="0.35">
      <c r="J634" s="42"/>
    </row>
    <row r="635" spans="10:10" x14ac:dyDescent="0.35">
      <c r="J635" s="42"/>
    </row>
    <row r="636" spans="10:10" x14ac:dyDescent="0.35">
      <c r="J636" s="42"/>
    </row>
    <row r="637" spans="10:10" x14ac:dyDescent="0.35">
      <c r="J637" s="42"/>
    </row>
    <row r="638" spans="10:10" x14ac:dyDescent="0.35">
      <c r="J638" s="42"/>
    </row>
    <row r="639" spans="10:10" x14ac:dyDescent="0.35">
      <c r="J639" s="42"/>
    </row>
    <row r="640" spans="10:10" x14ac:dyDescent="0.35">
      <c r="J640" s="42"/>
    </row>
    <row r="641" spans="10:10" x14ac:dyDescent="0.35">
      <c r="J641" s="42"/>
    </row>
    <row r="642" spans="10:10" x14ac:dyDescent="0.35">
      <c r="J642" s="42"/>
    </row>
    <row r="643" spans="10:10" x14ac:dyDescent="0.35">
      <c r="J643" s="42"/>
    </row>
    <row r="644" spans="10:10" x14ac:dyDescent="0.35">
      <c r="J644" s="42"/>
    </row>
    <row r="645" spans="10:10" x14ac:dyDescent="0.35">
      <c r="J645" s="42"/>
    </row>
    <row r="646" spans="10:10" x14ac:dyDescent="0.35">
      <c r="J646" s="42"/>
    </row>
    <row r="647" spans="10:10" x14ac:dyDescent="0.35">
      <c r="J647" s="42"/>
    </row>
    <row r="648" spans="10:10" x14ac:dyDescent="0.35">
      <c r="J648" s="42"/>
    </row>
    <row r="649" spans="10:10" x14ac:dyDescent="0.35">
      <c r="J649" s="42"/>
    </row>
    <row r="650" spans="10:10" x14ac:dyDescent="0.35">
      <c r="J650" s="42"/>
    </row>
    <row r="651" spans="10:10" x14ac:dyDescent="0.35">
      <c r="J651" s="42"/>
    </row>
    <row r="652" spans="10:10" x14ac:dyDescent="0.35">
      <c r="J652" s="42"/>
    </row>
    <row r="653" spans="10:10" x14ac:dyDescent="0.35">
      <c r="J653" s="42"/>
    </row>
    <row r="654" spans="10:10" x14ac:dyDescent="0.35">
      <c r="J654" s="42"/>
    </row>
    <row r="655" spans="10:10" x14ac:dyDescent="0.35">
      <c r="J655" s="42"/>
    </row>
    <row r="656" spans="10:10" x14ac:dyDescent="0.35">
      <c r="J656" s="42"/>
    </row>
    <row r="657" spans="10:10" x14ac:dyDescent="0.35">
      <c r="J657" s="42"/>
    </row>
    <row r="658" spans="10:10" x14ac:dyDescent="0.35">
      <c r="J658" s="42"/>
    </row>
    <row r="659" spans="10:10" x14ac:dyDescent="0.35">
      <c r="J659" s="42"/>
    </row>
    <row r="660" spans="10:10" x14ac:dyDescent="0.35">
      <c r="J660" s="42"/>
    </row>
    <row r="661" spans="10:10" x14ac:dyDescent="0.35">
      <c r="J661" s="42"/>
    </row>
    <row r="662" spans="10:10" x14ac:dyDescent="0.35">
      <c r="J662" s="42"/>
    </row>
    <row r="663" spans="10:10" x14ac:dyDescent="0.35">
      <c r="J663" s="42"/>
    </row>
    <row r="664" spans="10:10" x14ac:dyDescent="0.35">
      <c r="J664" s="42"/>
    </row>
    <row r="665" spans="10:10" x14ac:dyDescent="0.35">
      <c r="J665" s="42"/>
    </row>
    <row r="666" spans="10:10" x14ac:dyDescent="0.35">
      <c r="J666" s="42"/>
    </row>
    <row r="667" spans="10:10" x14ac:dyDescent="0.35">
      <c r="J667" s="42"/>
    </row>
    <row r="668" spans="10:10" x14ac:dyDescent="0.35">
      <c r="J668" s="42"/>
    </row>
    <row r="669" spans="10:10" x14ac:dyDescent="0.35">
      <c r="J669" s="42"/>
    </row>
    <row r="670" spans="10:10" x14ac:dyDescent="0.35">
      <c r="J670" s="42"/>
    </row>
    <row r="671" spans="10:10" x14ac:dyDescent="0.35">
      <c r="J671" s="42"/>
    </row>
    <row r="672" spans="10:10" x14ac:dyDescent="0.35">
      <c r="J672" s="42"/>
    </row>
    <row r="673" spans="10:10" x14ac:dyDescent="0.35">
      <c r="J673" s="42"/>
    </row>
    <row r="674" spans="10:10" x14ac:dyDescent="0.35">
      <c r="J674" s="42"/>
    </row>
    <row r="675" spans="10:10" x14ac:dyDescent="0.35">
      <c r="J675" s="42"/>
    </row>
    <row r="676" spans="10:10" x14ac:dyDescent="0.35">
      <c r="J676" s="42"/>
    </row>
    <row r="677" spans="10:10" x14ac:dyDescent="0.35">
      <c r="J677" s="42"/>
    </row>
    <row r="678" spans="10:10" x14ac:dyDescent="0.35">
      <c r="J678" s="42"/>
    </row>
    <row r="679" spans="10:10" x14ac:dyDescent="0.35">
      <c r="J679" s="42"/>
    </row>
    <row r="680" spans="10:10" x14ac:dyDescent="0.35">
      <c r="J680" s="42"/>
    </row>
    <row r="681" spans="10:10" x14ac:dyDescent="0.35">
      <c r="J681" s="42"/>
    </row>
    <row r="682" spans="10:10" x14ac:dyDescent="0.35">
      <c r="J682" s="42"/>
    </row>
    <row r="683" spans="10:10" x14ac:dyDescent="0.35">
      <c r="J683" s="42"/>
    </row>
    <row r="684" spans="10:10" x14ac:dyDescent="0.35">
      <c r="J684" s="42"/>
    </row>
    <row r="685" spans="10:10" x14ac:dyDescent="0.35">
      <c r="J685" s="42"/>
    </row>
    <row r="686" spans="10:10" x14ac:dyDescent="0.35">
      <c r="J686" s="42"/>
    </row>
    <row r="687" spans="10:10" x14ac:dyDescent="0.35">
      <c r="J687" s="42"/>
    </row>
    <row r="688" spans="10:10" x14ac:dyDescent="0.35">
      <c r="J688" s="42"/>
    </row>
    <row r="689" spans="10:10" x14ac:dyDescent="0.35">
      <c r="J689" s="42"/>
    </row>
    <row r="690" spans="10:10" x14ac:dyDescent="0.35">
      <c r="J690" s="42"/>
    </row>
    <row r="691" spans="10:10" x14ac:dyDescent="0.35">
      <c r="J691" s="42"/>
    </row>
    <row r="692" spans="10:10" x14ac:dyDescent="0.35">
      <c r="J692" s="42"/>
    </row>
    <row r="693" spans="10:10" x14ac:dyDescent="0.35">
      <c r="J693" s="42"/>
    </row>
    <row r="694" spans="10:10" x14ac:dyDescent="0.35">
      <c r="J694" s="42"/>
    </row>
    <row r="695" spans="10:10" x14ac:dyDescent="0.35">
      <c r="J695" s="42"/>
    </row>
    <row r="696" spans="10:10" x14ac:dyDescent="0.35">
      <c r="J696" s="42"/>
    </row>
    <row r="697" spans="10:10" x14ac:dyDescent="0.35">
      <c r="J697" s="42"/>
    </row>
    <row r="698" spans="10:10" x14ac:dyDescent="0.35">
      <c r="J698" s="42"/>
    </row>
    <row r="699" spans="10:10" x14ac:dyDescent="0.35">
      <c r="J699" s="42"/>
    </row>
    <row r="700" spans="10:10" x14ac:dyDescent="0.35">
      <c r="J700" s="42"/>
    </row>
    <row r="701" spans="10:10" x14ac:dyDescent="0.35">
      <c r="J701" s="42"/>
    </row>
    <row r="702" spans="10:10" x14ac:dyDescent="0.35">
      <c r="J702" s="42"/>
    </row>
    <row r="703" spans="10:10" x14ac:dyDescent="0.35">
      <c r="J703" s="42"/>
    </row>
    <row r="704" spans="10:10" x14ac:dyDescent="0.35">
      <c r="J704" s="42"/>
    </row>
    <row r="705" spans="10:10" x14ac:dyDescent="0.35">
      <c r="J705" s="42"/>
    </row>
    <row r="706" spans="10:10" x14ac:dyDescent="0.35">
      <c r="J706" s="42"/>
    </row>
    <row r="707" spans="10:10" x14ac:dyDescent="0.35">
      <c r="J707" s="42"/>
    </row>
    <row r="708" spans="10:10" x14ac:dyDescent="0.35">
      <c r="J708" s="42"/>
    </row>
    <row r="709" spans="10:10" x14ac:dyDescent="0.35">
      <c r="J709" s="42"/>
    </row>
    <row r="710" spans="10:10" x14ac:dyDescent="0.35">
      <c r="J710" s="42"/>
    </row>
  </sheetData>
  <mergeCells count="159">
    <mergeCell ref="C6:M6"/>
    <mergeCell ref="A9:A10"/>
    <mergeCell ref="A13:M13"/>
    <mergeCell ref="A14:A20"/>
    <mergeCell ref="C14:M14"/>
    <mergeCell ref="A21:A24"/>
    <mergeCell ref="C21:M21"/>
    <mergeCell ref="A2:A4"/>
    <mergeCell ref="B2:B3"/>
    <mergeCell ref="C2:M2"/>
    <mergeCell ref="C4:I4"/>
    <mergeCell ref="L4:M4"/>
    <mergeCell ref="A5:M5"/>
    <mergeCell ref="A38:A41"/>
    <mergeCell ref="C38:J38"/>
    <mergeCell ref="K38:M38"/>
    <mergeCell ref="A42:A45"/>
    <mergeCell ref="C42:M42"/>
    <mergeCell ref="A46:A49"/>
    <mergeCell ref="C46:K46"/>
    <mergeCell ref="A25:A28"/>
    <mergeCell ref="C25:M25"/>
    <mergeCell ref="A29:M29"/>
    <mergeCell ref="A30:A33"/>
    <mergeCell ref="C30:M30"/>
    <mergeCell ref="A34:A37"/>
    <mergeCell ref="C34:J34"/>
    <mergeCell ref="K34:M34"/>
    <mergeCell ref="A72:A73"/>
    <mergeCell ref="A74:A75"/>
    <mergeCell ref="A76:A77"/>
    <mergeCell ref="A80:A81"/>
    <mergeCell ref="A82:A83"/>
    <mergeCell ref="A88:M88"/>
    <mergeCell ref="A50:A58"/>
    <mergeCell ref="C50:M50"/>
    <mergeCell ref="A59:A62"/>
    <mergeCell ref="C59:M59"/>
    <mergeCell ref="A63:M63"/>
    <mergeCell ref="A69:A70"/>
    <mergeCell ref="A105:A106"/>
    <mergeCell ref="A107:A108"/>
    <mergeCell ref="A109:A110"/>
    <mergeCell ref="B117:B118"/>
    <mergeCell ref="C117:H117"/>
    <mergeCell ref="A119:A120"/>
    <mergeCell ref="C119:H119"/>
    <mergeCell ref="C120:F120"/>
    <mergeCell ref="A92:A93"/>
    <mergeCell ref="A94:A95"/>
    <mergeCell ref="A96:A97"/>
    <mergeCell ref="A98:A99"/>
    <mergeCell ref="A100:A101"/>
    <mergeCell ref="A103:A104"/>
    <mergeCell ref="A129:H129"/>
    <mergeCell ref="A130:A136"/>
    <mergeCell ref="C130:H130"/>
    <mergeCell ref="A137:A140"/>
    <mergeCell ref="C137:H137"/>
    <mergeCell ref="A141:A144"/>
    <mergeCell ref="C141:H141"/>
    <mergeCell ref="A121:H121"/>
    <mergeCell ref="C122:H122"/>
    <mergeCell ref="A125:A126"/>
    <mergeCell ref="C125:C126"/>
    <mergeCell ref="D125:D126"/>
    <mergeCell ref="E125:E126"/>
    <mergeCell ref="F125:F126"/>
    <mergeCell ref="G125:G126"/>
    <mergeCell ref="H125:H126"/>
    <mergeCell ref="A160:A163"/>
    <mergeCell ref="C160:H160"/>
    <mergeCell ref="A164:A167"/>
    <mergeCell ref="C164:H164"/>
    <mergeCell ref="A168:A176"/>
    <mergeCell ref="C168:H168"/>
    <mergeCell ref="A145:H145"/>
    <mergeCell ref="A146:A149"/>
    <mergeCell ref="C146:H146"/>
    <mergeCell ref="A150:A153"/>
    <mergeCell ref="C150:H150"/>
    <mergeCell ref="A154:A157"/>
    <mergeCell ref="C154:H154"/>
    <mergeCell ref="A194:A195"/>
    <mergeCell ref="A196:A197"/>
    <mergeCell ref="A198:A199"/>
    <mergeCell ref="A200:A201"/>
    <mergeCell ref="C200:C201"/>
    <mergeCell ref="A206:H206"/>
    <mergeCell ref="A177:A180"/>
    <mergeCell ref="C177:H177"/>
    <mergeCell ref="A181:H181"/>
    <mergeCell ref="A187:A188"/>
    <mergeCell ref="A190:A191"/>
    <mergeCell ref="A192:A193"/>
    <mergeCell ref="A224:A225"/>
    <mergeCell ref="A226:A227"/>
    <mergeCell ref="A228:A230"/>
    <mergeCell ref="B237:B238"/>
    <mergeCell ref="C237:H237"/>
    <mergeCell ref="A239:A240"/>
    <mergeCell ref="C239:H239"/>
    <mergeCell ref="C240:F240"/>
    <mergeCell ref="A210:A211"/>
    <mergeCell ref="A212:A213"/>
    <mergeCell ref="A214:A215"/>
    <mergeCell ref="A216:A217"/>
    <mergeCell ref="A218:A219"/>
    <mergeCell ref="A222:A223"/>
    <mergeCell ref="A249:H249"/>
    <mergeCell ref="A250:A256"/>
    <mergeCell ref="C250:H250"/>
    <mergeCell ref="A257:A260"/>
    <mergeCell ref="C257:H257"/>
    <mergeCell ref="A261:A264"/>
    <mergeCell ref="C261:H261"/>
    <mergeCell ref="A241:H241"/>
    <mergeCell ref="C242:H242"/>
    <mergeCell ref="A245:A246"/>
    <mergeCell ref="C245:C246"/>
    <mergeCell ref="D245:D246"/>
    <mergeCell ref="E245:E246"/>
    <mergeCell ref="F245:F246"/>
    <mergeCell ref="G245:G246"/>
    <mergeCell ref="H245:H246"/>
    <mergeCell ref="A278:A281"/>
    <mergeCell ref="C278:H278"/>
    <mergeCell ref="A282:A285"/>
    <mergeCell ref="C282:H282"/>
    <mergeCell ref="A286:A294"/>
    <mergeCell ref="C286:H286"/>
    <mergeCell ref="A265:H265"/>
    <mergeCell ref="A266:A269"/>
    <mergeCell ref="C266:H266"/>
    <mergeCell ref="A270:A273"/>
    <mergeCell ref="C270:H270"/>
    <mergeCell ref="A274:A277"/>
    <mergeCell ref="C274:H274"/>
    <mergeCell ref="A312:A313"/>
    <mergeCell ref="A315:A316"/>
    <mergeCell ref="A317:A318"/>
    <mergeCell ref="C317:C318"/>
    <mergeCell ref="A323:H323"/>
    <mergeCell ref="A327:A328"/>
    <mergeCell ref="A295:A298"/>
    <mergeCell ref="C295:H295"/>
    <mergeCell ref="A299:H299"/>
    <mergeCell ref="A305:A306"/>
    <mergeCell ref="A308:A309"/>
    <mergeCell ref="A310:A311"/>
    <mergeCell ref="A341:A342"/>
    <mergeCell ref="A343:A344"/>
    <mergeCell ref="A345:A347"/>
    <mergeCell ref="A329:A330"/>
    <mergeCell ref="A331:A332"/>
    <mergeCell ref="A333:A334"/>
    <mergeCell ref="A335:A336"/>
    <mergeCell ref="A339:A340"/>
    <mergeCell ref="B339:B34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A849A-3220-4FC8-A42C-FB982BCE49AF}">
  <dimension ref="A1:K18"/>
  <sheetViews>
    <sheetView topLeftCell="A4" workbookViewId="0">
      <selection activeCell="D21" sqref="D21"/>
    </sheetView>
  </sheetViews>
  <sheetFormatPr defaultRowHeight="14.5" x14ac:dyDescent="0.35"/>
  <sheetData>
    <row r="1" spans="1:11" x14ac:dyDescent="0.35">
      <c r="A1">
        <f>'Теплофикационные режимы'!C290</f>
        <v>833.3</v>
      </c>
      <c r="B1">
        <f>'Теплофикационные режимы'!D290</f>
        <v>833.3</v>
      </c>
      <c r="C1">
        <f>'Теплофикационные режимы'!E290</f>
        <v>833.3</v>
      </c>
      <c r="D1">
        <f>'Теплофикационные режимы'!F290</f>
        <v>833.3</v>
      </c>
      <c r="E1">
        <f>'Теплофикационные режимы'!G290</f>
        <v>833.3</v>
      </c>
      <c r="F1">
        <f>'Теплофикационные режимы'!H290</f>
        <v>833.3</v>
      </c>
    </row>
    <row r="2" spans="1:11" x14ac:dyDescent="0.35">
      <c r="A2">
        <f>'Теплофикационные режимы'!C291</f>
        <v>112.9</v>
      </c>
      <c r="B2">
        <f>'Теплофикационные режимы'!D291</f>
        <v>114</v>
      </c>
      <c r="C2">
        <f>'Теплофикационные режимы'!E291</f>
        <v>114.7</v>
      </c>
      <c r="D2">
        <f>'Теплофикационные режимы'!F291</f>
        <v>116.8</v>
      </c>
      <c r="E2">
        <f>'Теплофикационные режимы'!G291</f>
        <v>118.3</v>
      </c>
      <c r="F2">
        <f>'Теплофикационные режимы'!H291</f>
        <v>116.8</v>
      </c>
    </row>
    <row r="3" spans="1:11" x14ac:dyDescent="0.35">
      <c r="A3">
        <f>'Теплофикационные режимы'!C292</f>
        <v>49.2</v>
      </c>
      <c r="B3">
        <f>'Теплофикационные режимы'!D292</f>
        <v>41.7</v>
      </c>
      <c r="C3">
        <f>'Теплофикационные режимы'!E292</f>
        <v>36.700000000000003</v>
      </c>
      <c r="D3">
        <f>'Теплофикационные режимы'!F292</f>
        <v>22.5</v>
      </c>
      <c r="E3">
        <f>'Теплофикационные режимы'!G292</f>
        <v>11.7</v>
      </c>
      <c r="F3">
        <f>'Теплофикационные режимы'!H292</f>
        <v>22.5</v>
      </c>
    </row>
    <row r="5" spans="1:11" x14ac:dyDescent="0.35">
      <c r="A5">
        <f>A1-A3</f>
        <v>784.09999999999991</v>
      </c>
      <c r="B5">
        <f t="shared" ref="B5:F5" si="0">B1-B3</f>
        <v>791.59999999999991</v>
      </c>
      <c r="C5">
        <f t="shared" si="0"/>
        <v>796.59999999999991</v>
      </c>
      <c r="D5">
        <f t="shared" si="0"/>
        <v>810.8</v>
      </c>
      <c r="E5">
        <f t="shared" si="0"/>
        <v>821.59999999999991</v>
      </c>
      <c r="F5">
        <f t="shared" si="0"/>
        <v>810.8</v>
      </c>
    </row>
    <row r="6" spans="1:11" x14ac:dyDescent="0.35">
      <c r="A6">
        <f>A2/A5</f>
        <v>0.14398673638566512</v>
      </c>
      <c r="B6">
        <f t="shared" ref="B6:F6" si="1">B2/B5</f>
        <v>0.14401212733703891</v>
      </c>
      <c r="C6">
        <f t="shared" si="1"/>
        <v>0.14398694451418531</v>
      </c>
      <c r="D6">
        <f t="shared" si="1"/>
        <v>0.14405525407005426</v>
      </c>
      <c r="E6">
        <f t="shared" si="1"/>
        <v>0.14398734177215192</v>
      </c>
      <c r="F6">
        <f t="shared" si="1"/>
        <v>0.14405525407005426</v>
      </c>
    </row>
    <row r="13" spans="1:11" x14ac:dyDescent="0.35">
      <c r="A13">
        <f>'Теплофикационные режимы'!C54</f>
        <v>833.3</v>
      </c>
      <c r="B13">
        <f>'Теплофикационные режимы'!D54</f>
        <v>833.3</v>
      </c>
      <c r="C13">
        <f>'Теплофикационные режимы'!E54</f>
        <v>833.3</v>
      </c>
      <c r="D13">
        <f>'Теплофикационные режимы'!F54</f>
        <v>833.3</v>
      </c>
      <c r="E13">
        <f>'Теплофикационные режимы'!G54</f>
        <v>833.3</v>
      </c>
      <c r="F13">
        <f>'Теплофикационные режимы'!H54</f>
        <v>833.3</v>
      </c>
      <c r="G13">
        <f>'Теплофикационные режимы'!I54</f>
        <v>833.3</v>
      </c>
      <c r="H13">
        <f>'Теплофикационные режимы'!J54</f>
        <v>833.3</v>
      </c>
      <c r="I13">
        <f>'Теплофикационные режимы'!K54</f>
        <v>833.3</v>
      </c>
      <c r="J13">
        <f>'Теплофикационные режимы'!L54</f>
        <v>833.3</v>
      </c>
      <c r="K13">
        <f>'Теплофикационные режимы'!M54</f>
        <v>833.3</v>
      </c>
    </row>
    <row r="14" spans="1:11" x14ac:dyDescent="0.35">
      <c r="A14">
        <f>'Теплофикационные режимы'!C55</f>
        <v>112.8</v>
      </c>
      <c r="B14">
        <f>'Теплофикационные режимы'!D55</f>
        <v>113.4</v>
      </c>
      <c r="C14">
        <f>'Теплофикационные режимы'!E55</f>
        <v>113.3</v>
      </c>
      <c r="D14">
        <f>'Теплофикационные режимы'!F55</f>
        <v>113</v>
      </c>
      <c r="E14">
        <f>'Теплофикационные режимы'!G55</f>
        <v>115.4</v>
      </c>
      <c r="F14">
        <f>'Теплофикационные режимы'!H55</f>
        <v>115.4</v>
      </c>
      <c r="G14">
        <f>'Теплофикационные режимы'!I55</f>
        <v>117.3</v>
      </c>
      <c r="H14">
        <f>'Теплофикационные режимы'!J55</f>
        <v>117.6</v>
      </c>
      <c r="I14">
        <f>'Теплофикационные режимы'!K55</f>
        <v>423.4</v>
      </c>
      <c r="J14">
        <f>'Теплофикационные режимы'!L55</f>
        <v>117.7</v>
      </c>
      <c r="K14">
        <f>'Теплофикационные режимы'!M55</f>
        <v>117.5</v>
      </c>
    </row>
    <row r="15" spans="1:11" x14ac:dyDescent="0.35">
      <c r="A15">
        <f>'Теплофикационные режимы'!C56</f>
        <v>50</v>
      </c>
      <c r="B15">
        <f>'Теплофикационные режимы'!D56</f>
        <v>45.8</v>
      </c>
      <c r="C15">
        <f>'Теплофикационные режимы'!E56</f>
        <v>52.5</v>
      </c>
      <c r="D15">
        <f>'Теплофикационные режимы'!F56</f>
        <v>48.3</v>
      </c>
      <c r="E15">
        <f>'Теплофикационные режимы'!G56</f>
        <v>31.7</v>
      </c>
      <c r="F15">
        <f>'Теплофикационные режимы'!H56</f>
        <v>31.7</v>
      </c>
      <c r="G15">
        <f>'Теплофикационные режимы'!I56</f>
        <v>19.2</v>
      </c>
      <c r="H15">
        <f>'Теплофикационные режимы'!J56</f>
        <v>16.7</v>
      </c>
      <c r="I15">
        <f>'Теплофикационные режимы'!K56</f>
        <v>60</v>
      </c>
      <c r="J15">
        <f>'Теплофикационные режимы'!L56</f>
        <v>15.8</v>
      </c>
      <c r="K15">
        <f>'Теплофикационные режимы'!M56</f>
        <v>17.5</v>
      </c>
    </row>
    <row r="17" spans="1:11" x14ac:dyDescent="0.35">
      <c r="A17">
        <f>A13-A15</f>
        <v>783.3</v>
      </c>
      <c r="B17">
        <f t="shared" ref="B17:H17" si="2">B13-B15</f>
        <v>787.5</v>
      </c>
      <c r="C17">
        <f t="shared" si="2"/>
        <v>780.8</v>
      </c>
      <c r="D17">
        <f t="shared" si="2"/>
        <v>785</v>
      </c>
      <c r="E17">
        <f t="shared" si="2"/>
        <v>801.59999999999991</v>
      </c>
      <c r="F17">
        <f t="shared" si="2"/>
        <v>801.59999999999991</v>
      </c>
      <c r="G17">
        <f t="shared" si="2"/>
        <v>814.09999999999991</v>
      </c>
      <c r="H17">
        <f t="shared" si="2"/>
        <v>816.59999999999991</v>
      </c>
      <c r="I17">
        <f t="shared" ref="I17:K17" si="3">I13-I15</f>
        <v>773.3</v>
      </c>
      <c r="J17">
        <f t="shared" si="3"/>
        <v>817.5</v>
      </c>
      <c r="K17">
        <f t="shared" si="3"/>
        <v>815.8</v>
      </c>
    </row>
    <row r="18" spans="1:11" x14ac:dyDescent="0.35">
      <c r="A18">
        <f>A14/A17</f>
        <v>0.14400612792033704</v>
      </c>
      <c r="B18">
        <f t="shared" ref="B18:H18" si="4">B14/B17</f>
        <v>0.14400000000000002</v>
      </c>
      <c r="C18">
        <f t="shared" si="4"/>
        <v>0.14510758196721313</v>
      </c>
      <c r="D18">
        <f t="shared" si="4"/>
        <v>0.14394904458598726</v>
      </c>
      <c r="E18">
        <f t="shared" si="4"/>
        <v>0.14396207584830342</v>
      </c>
      <c r="F18">
        <f t="shared" si="4"/>
        <v>0.14396207584830342</v>
      </c>
      <c r="G18">
        <f t="shared" si="4"/>
        <v>0.14408549318265571</v>
      </c>
      <c r="H18">
        <f t="shared" si="4"/>
        <v>0.14401175606171934</v>
      </c>
      <c r="I18">
        <f t="shared" ref="I18" si="5">I14/I17</f>
        <v>0.54752360015517909</v>
      </c>
      <c r="J18">
        <f t="shared" ref="J18" si="6">J14/J17</f>
        <v>0.14397553516819572</v>
      </c>
      <c r="K18">
        <f t="shared" ref="K18" si="7">K14/K17</f>
        <v>0.144030399607747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36AEE-F8AD-4FC5-A0FA-27D123EACE44}">
  <dimension ref="A3:AA355"/>
  <sheetViews>
    <sheetView topLeftCell="A295" zoomScale="70" zoomScaleNormal="70" workbookViewId="0">
      <selection activeCell="K327" sqref="K327"/>
    </sheetView>
  </sheetViews>
  <sheetFormatPr defaultRowHeight="14.5" x14ac:dyDescent="0.35"/>
  <cols>
    <col min="1" max="1" width="8.7265625" style="169"/>
    <col min="2" max="2" width="24.08984375" style="169" bestFit="1" customWidth="1"/>
    <col min="3" max="16384" width="8.7265625" style="169"/>
  </cols>
  <sheetData>
    <row r="3" spans="1:15" x14ac:dyDescent="0.35">
      <c r="A3" s="168" t="s">
        <v>102</v>
      </c>
      <c r="B3" s="42"/>
      <c r="C3" s="42"/>
      <c r="D3" s="42"/>
      <c r="E3" s="42"/>
      <c r="F3" s="42"/>
      <c r="G3" s="42"/>
      <c r="H3" s="42"/>
      <c r="I3" s="42"/>
      <c r="J3" s="43"/>
      <c r="K3" s="42"/>
      <c r="L3" s="42"/>
      <c r="M3" s="42"/>
      <c r="N3" s="42"/>
      <c r="O3" s="42"/>
    </row>
    <row r="4" spans="1:15" x14ac:dyDescent="0.35">
      <c r="A4" s="168" t="s">
        <v>163</v>
      </c>
      <c r="B4" s="42"/>
      <c r="C4" s="42"/>
      <c r="D4" s="42"/>
      <c r="E4" s="42"/>
      <c r="F4" s="42"/>
      <c r="G4" s="42"/>
      <c r="H4" s="42"/>
      <c r="I4" s="42"/>
      <c r="J4" s="43"/>
      <c r="K4" s="42"/>
      <c r="L4" s="42"/>
      <c r="M4" s="42"/>
      <c r="N4" s="42"/>
      <c r="O4" s="42"/>
    </row>
    <row r="5" spans="1:15" ht="15" thickBot="1" x14ac:dyDescent="0.4">
      <c r="A5" s="170" t="s">
        <v>164</v>
      </c>
      <c r="B5" s="42"/>
      <c r="C5" s="42"/>
      <c r="D5" s="42"/>
      <c r="E5" s="42"/>
      <c r="F5" s="42"/>
      <c r="G5" s="42"/>
      <c r="H5" s="42"/>
      <c r="I5" s="42"/>
      <c r="J5" s="43"/>
      <c r="K5" s="42"/>
      <c r="L5" s="42"/>
      <c r="M5" s="42"/>
      <c r="N5" s="42"/>
      <c r="O5" s="42"/>
    </row>
    <row r="6" spans="1:15" ht="15.5" thickTop="1" thickBot="1" x14ac:dyDescent="0.4">
      <c r="A6" s="378" t="s">
        <v>0</v>
      </c>
      <c r="B6" s="421" t="s">
        <v>1</v>
      </c>
      <c r="C6" s="395" t="s">
        <v>2</v>
      </c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7"/>
      <c r="O6" s="42"/>
    </row>
    <row r="7" spans="1:15" ht="15.5" thickTop="1" thickBot="1" x14ac:dyDescent="0.4">
      <c r="A7" s="358"/>
      <c r="B7" s="423"/>
      <c r="C7" s="79">
        <v>-42</v>
      </c>
      <c r="D7" s="79">
        <v>-40</v>
      </c>
      <c r="E7" s="79">
        <v>-28</v>
      </c>
      <c r="F7" s="79">
        <v>-20</v>
      </c>
      <c r="G7" s="79">
        <v>-10.199999999999999</v>
      </c>
      <c r="H7" s="79">
        <v>-3.1</v>
      </c>
      <c r="I7" s="79">
        <v>-2.5</v>
      </c>
      <c r="J7" s="171">
        <v>15</v>
      </c>
      <c r="K7" s="79">
        <v>15</v>
      </c>
      <c r="L7" s="79">
        <v>15</v>
      </c>
      <c r="M7" s="79">
        <v>37</v>
      </c>
      <c r="N7" s="79">
        <v>37</v>
      </c>
      <c r="O7" s="42"/>
    </row>
    <row r="8" spans="1:15" ht="15.5" thickTop="1" thickBot="1" x14ac:dyDescent="0.4">
      <c r="A8" s="359"/>
      <c r="B8" s="79" t="s">
        <v>3</v>
      </c>
      <c r="C8" s="424" t="s">
        <v>165</v>
      </c>
      <c r="D8" s="425"/>
      <c r="E8" s="425"/>
      <c r="F8" s="425"/>
      <c r="G8" s="425"/>
      <c r="H8" s="425"/>
      <c r="I8" s="426"/>
      <c r="J8" s="172" t="s">
        <v>166</v>
      </c>
      <c r="K8" s="173" t="s">
        <v>167</v>
      </c>
      <c r="L8" s="173" t="s">
        <v>168</v>
      </c>
      <c r="M8" s="173" t="s">
        <v>169</v>
      </c>
      <c r="N8" s="174" t="s">
        <v>170</v>
      </c>
      <c r="O8" s="42"/>
    </row>
    <row r="9" spans="1:15" ht="15.5" thickTop="1" thickBot="1" x14ac:dyDescent="0.4">
      <c r="A9" s="418" t="s">
        <v>8</v>
      </c>
      <c r="B9" s="419"/>
      <c r="C9" s="419"/>
      <c r="D9" s="419"/>
      <c r="E9" s="419"/>
      <c r="F9" s="419"/>
      <c r="G9" s="419"/>
      <c r="H9" s="419"/>
      <c r="I9" s="419"/>
      <c r="J9" s="419"/>
      <c r="K9" s="419"/>
      <c r="L9" s="419"/>
      <c r="M9" s="419"/>
      <c r="N9" s="420"/>
      <c r="O9" s="42"/>
    </row>
    <row r="10" spans="1:15" ht="29" thickTop="1" thickBot="1" x14ac:dyDescent="0.4">
      <c r="A10" s="175">
        <v>1</v>
      </c>
      <c r="B10" s="66" t="s">
        <v>9</v>
      </c>
      <c r="C10" s="427">
        <v>100</v>
      </c>
      <c r="D10" s="428"/>
      <c r="E10" s="428"/>
      <c r="F10" s="428"/>
      <c r="G10" s="428"/>
      <c r="H10" s="428"/>
      <c r="I10" s="428"/>
      <c r="J10" s="428"/>
      <c r="K10" s="428"/>
      <c r="L10" s="428"/>
      <c r="M10" s="428"/>
      <c r="N10" s="429"/>
      <c r="O10" s="42"/>
    </row>
    <row r="11" spans="1:15" ht="15" thickBot="1" x14ac:dyDescent="0.4">
      <c r="A11" s="175">
        <v>2</v>
      </c>
      <c r="B11" s="66" t="s">
        <v>10</v>
      </c>
      <c r="C11" s="68">
        <v>170</v>
      </c>
      <c r="D11" s="68">
        <v>170</v>
      </c>
      <c r="E11" s="68">
        <v>170</v>
      </c>
      <c r="F11" s="68">
        <v>170</v>
      </c>
      <c r="G11" s="68">
        <v>169.4</v>
      </c>
      <c r="H11" s="68">
        <v>163.5</v>
      </c>
      <c r="I11" s="68">
        <v>163</v>
      </c>
      <c r="J11" s="69">
        <v>150.6</v>
      </c>
      <c r="K11" s="68">
        <v>148.19999999999999</v>
      </c>
      <c r="L11" s="68">
        <v>148.19999999999999</v>
      </c>
      <c r="M11" s="68">
        <v>128.6</v>
      </c>
      <c r="N11" s="70">
        <v>128.6</v>
      </c>
      <c r="O11" s="42"/>
    </row>
    <row r="12" spans="1:15" ht="15" thickBot="1" x14ac:dyDescent="0.4">
      <c r="A12" s="175">
        <v>3</v>
      </c>
      <c r="B12" s="66" t="s">
        <v>11</v>
      </c>
      <c r="C12" s="68">
        <v>34.26</v>
      </c>
      <c r="D12" s="68">
        <v>34.520000000000003</v>
      </c>
      <c r="E12" s="68">
        <v>34.5</v>
      </c>
      <c r="F12" s="68">
        <v>34.49</v>
      </c>
      <c r="G12" s="68">
        <v>34.36</v>
      </c>
      <c r="H12" s="68">
        <v>34.15</v>
      </c>
      <c r="I12" s="68">
        <v>34.130000000000003</v>
      </c>
      <c r="J12" s="69">
        <v>33.409999999999997</v>
      </c>
      <c r="K12" s="68">
        <v>33.44</v>
      </c>
      <c r="L12" s="68">
        <v>33.44</v>
      </c>
      <c r="M12" s="68">
        <v>32.15</v>
      </c>
      <c r="N12" s="70">
        <v>32.15</v>
      </c>
      <c r="O12" s="42"/>
    </row>
    <row r="13" spans="1:15" ht="15" x14ac:dyDescent="0.35">
      <c r="A13" s="416">
        <v>4</v>
      </c>
      <c r="B13" s="176" t="s">
        <v>12</v>
      </c>
      <c r="C13" s="177"/>
      <c r="D13" s="177"/>
      <c r="E13" s="177"/>
      <c r="F13" s="177"/>
      <c r="G13" s="177"/>
      <c r="H13" s="177"/>
      <c r="I13" s="177"/>
      <c r="J13" s="178"/>
      <c r="K13" s="177"/>
      <c r="L13" s="177"/>
      <c r="M13" s="177"/>
      <c r="N13" s="96"/>
      <c r="O13" s="42"/>
    </row>
    <row r="14" spans="1:15" ht="15" thickBot="1" x14ac:dyDescent="0.4">
      <c r="A14" s="417"/>
      <c r="B14" s="66" t="s">
        <v>13</v>
      </c>
      <c r="C14" s="68">
        <v>10.11</v>
      </c>
      <c r="D14" s="68">
        <v>10.029999999999999</v>
      </c>
      <c r="E14" s="68">
        <v>10.039999999999999</v>
      </c>
      <c r="F14" s="68">
        <v>10.039999999999999</v>
      </c>
      <c r="G14" s="68">
        <v>10.039999999999999</v>
      </c>
      <c r="H14" s="68">
        <v>9.75</v>
      </c>
      <c r="I14" s="68">
        <v>9.73</v>
      </c>
      <c r="J14" s="69">
        <v>9.02</v>
      </c>
      <c r="K14" s="68">
        <v>9.0299999999999994</v>
      </c>
      <c r="L14" s="68">
        <v>9.0299999999999994</v>
      </c>
      <c r="M14" s="68">
        <v>8.15</v>
      </c>
      <c r="N14" s="70">
        <v>8.15</v>
      </c>
      <c r="O14" s="42"/>
    </row>
    <row r="15" spans="1:15" ht="28.5" thickBot="1" x14ac:dyDescent="0.4">
      <c r="A15" s="175">
        <v>5</v>
      </c>
      <c r="B15" s="66" t="s">
        <v>14</v>
      </c>
      <c r="C15" s="68">
        <v>516.20000000000005</v>
      </c>
      <c r="D15" s="68">
        <v>513.6</v>
      </c>
      <c r="E15" s="68">
        <v>521</v>
      </c>
      <c r="F15" s="68">
        <v>526.29999999999995</v>
      </c>
      <c r="G15" s="68">
        <v>531.5</v>
      </c>
      <c r="H15" s="68">
        <v>522</v>
      </c>
      <c r="I15" s="68">
        <v>521.1</v>
      </c>
      <c r="J15" s="69">
        <v>503.8</v>
      </c>
      <c r="K15" s="68">
        <v>494.6</v>
      </c>
      <c r="L15" s="68">
        <v>494.6</v>
      </c>
      <c r="M15" s="68">
        <v>452.1</v>
      </c>
      <c r="N15" s="70">
        <v>452.1</v>
      </c>
      <c r="O15" s="42"/>
    </row>
    <row r="16" spans="1:15" ht="28.5" thickBot="1" x14ac:dyDescent="0.4">
      <c r="A16" s="179">
        <v>6</v>
      </c>
      <c r="B16" s="75" t="s">
        <v>15</v>
      </c>
      <c r="C16" s="77">
        <v>522.79999999999995</v>
      </c>
      <c r="D16" s="77">
        <v>523.5</v>
      </c>
      <c r="E16" s="77">
        <v>527.29999999999995</v>
      </c>
      <c r="F16" s="77">
        <v>529.79999999999995</v>
      </c>
      <c r="G16" s="77">
        <v>532.9</v>
      </c>
      <c r="H16" s="77">
        <v>535</v>
      </c>
      <c r="I16" s="77">
        <v>535.20000000000005</v>
      </c>
      <c r="J16" s="78">
        <v>542.1</v>
      </c>
      <c r="K16" s="77">
        <v>542.20000000000005</v>
      </c>
      <c r="L16" s="77">
        <v>542.20000000000005</v>
      </c>
      <c r="M16" s="77">
        <v>557.9</v>
      </c>
      <c r="N16" s="79">
        <v>557.9</v>
      </c>
      <c r="O16" s="42"/>
    </row>
    <row r="17" spans="1:15" ht="15.5" thickTop="1" thickBot="1" x14ac:dyDescent="0.4">
      <c r="A17" s="418" t="s">
        <v>16</v>
      </c>
      <c r="B17" s="419"/>
      <c r="C17" s="419"/>
      <c r="D17" s="419"/>
      <c r="E17" s="419"/>
      <c r="F17" s="419"/>
      <c r="G17" s="419"/>
      <c r="H17" s="419"/>
      <c r="I17" s="419"/>
      <c r="J17" s="419"/>
      <c r="K17" s="419"/>
      <c r="L17" s="419"/>
      <c r="M17" s="419"/>
      <c r="N17" s="420"/>
      <c r="O17" s="42"/>
    </row>
    <row r="18" spans="1:15" ht="29" thickTop="1" thickBot="1" x14ac:dyDescent="0.4">
      <c r="A18" s="421">
        <v>7</v>
      </c>
      <c r="B18" s="66" t="s">
        <v>110</v>
      </c>
      <c r="C18" s="379"/>
      <c r="D18" s="380"/>
      <c r="E18" s="380"/>
      <c r="F18" s="380"/>
      <c r="G18" s="380"/>
      <c r="H18" s="380"/>
      <c r="I18" s="380"/>
      <c r="J18" s="380"/>
      <c r="K18" s="380"/>
      <c r="L18" s="380"/>
      <c r="M18" s="380"/>
      <c r="N18" s="381"/>
      <c r="O18" s="42"/>
    </row>
    <row r="19" spans="1:15" ht="15" thickBot="1" x14ac:dyDescent="0.4">
      <c r="A19" s="422"/>
      <c r="B19" s="66" t="s">
        <v>18</v>
      </c>
      <c r="C19" s="68">
        <v>456.9</v>
      </c>
      <c r="D19" s="68">
        <v>457.2</v>
      </c>
      <c r="E19" s="68">
        <v>459.7</v>
      </c>
      <c r="F19" s="68">
        <v>461.3</v>
      </c>
      <c r="G19" s="68">
        <v>463.2</v>
      </c>
      <c r="H19" s="68">
        <v>464.3</v>
      </c>
      <c r="I19" s="68">
        <v>464.4</v>
      </c>
      <c r="J19" s="69">
        <v>468.05</v>
      </c>
      <c r="K19" s="68">
        <v>467.9</v>
      </c>
      <c r="L19" s="68">
        <v>467.9</v>
      </c>
      <c r="M19" s="68">
        <v>476</v>
      </c>
      <c r="N19" s="70">
        <v>476</v>
      </c>
      <c r="O19" s="42"/>
    </row>
    <row r="20" spans="1:15" ht="15" thickBot="1" x14ac:dyDescent="0.4">
      <c r="A20" s="422"/>
      <c r="B20" s="66" t="s">
        <v>19</v>
      </c>
      <c r="C20" s="68">
        <v>306</v>
      </c>
      <c r="D20" s="68">
        <v>305.8</v>
      </c>
      <c r="E20" s="68">
        <v>307.89999999999998</v>
      </c>
      <c r="F20" s="68">
        <v>309.3</v>
      </c>
      <c r="G20" s="68">
        <v>310.8</v>
      </c>
      <c r="H20" s="68">
        <v>310</v>
      </c>
      <c r="I20" s="68">
        <v>310</v>
      </c>
      <c r="J20" s="69">
        <v>309.2</v>
      </c>
      <c r="K20" s="68">
        <v>307.89999999999998</v>
      </c>
      <c r="L20" s="68">
        <v>307.89999999999998</v>
      </c>
      <c r="M20" s="68">
        <v>304.89999999999998</v>
      </c>
      <c r="N20" s="70">
        <v>304.89999999999998</v>
      </c>
      <c r="O20" s="42"/>
    </row>
    <row r="21" spans="1:15" ht="15" thickBot="1" x14ac:dyDescent="0.4">
      <c r="A21" s="422"/>
      <c r="B21" s="66" t="s">
        <v>20</v>
      </c>
      <c r="C21" s="68">
        <v>237.7</v>
      </c>
      <c r="D21" s="68">
        <v>237.4</v>
      </c>
      <c r="E21" s="68">
        <v>238</v>
      </c>
      <c r="F21" s="68">
        <v>238.3</v>
      </c>
      <c r="G21" s="68">
        <v>238.6</v>
      </c>
      <c r="H21" s="68">
        <v>237.7</v>
      </c>
      <c r="I21" s="68">
        <v>237.7</v>
      </c>
      <c r="J21" s="69">
        <v>235.9</v>
      </c>
      <c r="K21" s="68">
        <v>235</v>
      </c>
      <c r="L21" s="68">
        <v>235</v>
      </c>
      <c r="M21" s="68">
        <v>230.4</v>
      </c>
      <c r="N21" s="70">
        <v>230.4</v>
      </c>
      <c r="O21" s="42"/>
    </row>
    <row r="22" spans="1:15" ht="15" thickBot="1" x14ac:dyDescent="0.4">
      <c r="A22" s="422"/>
      <c r="B22" s="66" t="s">
        <v>21</v>
      </c>
      <c r="C22" s="68">
        <v>234.6</v>
      </c>
      <c r="D22" s="68">
        <v>234.4</v>
      </c>
      <c r="E22" s="68">
        <v>235</v>
      </c>
      <c r="F22" s="68">
        <v>235.3</v>
      </c>
      <c r="G22" s="68">
        <v>235.7</v>
      </c>
      <c r="H22" s="68">
        <v>234.8</v>
      </c>
      <c r="I22" s="68">
        <v>234.7</v>
      </c>
      <c r="J22" s="69">
        <v>233</v>
      </c>
      <c r="K22" s="68">
        <v>232.1</v>
      </c>
      <c r="L22" s="68">
        <v>232.1</v>
      </c>
      <c r="M22" s="68">
        <v>227.6</v>
      </c>
      <c r="N22" s="70">
        <v>227.6</v>
      </c>
      <c r="O22" s="42"/>
    </row>
    <row r="23" spans="1:15" ht="15" thickBot="1" x14ac:dyDescent="0.4">
      <c r="A23" s="422"/>
      <c r="B23" s="66" t="s">
        <v>22</v>
      </c>
      <c r="C23" s="68">
        <v>175.9</v>
      </c>
      <c r="D23" s="68">
        <v>175.7</v>
      </c>
      <c r="E23" s="68">
        <v>176.6</v>
      </c>
      <c r="F23" s="68">
        <v>177.1</v>
      </c>
      <c r="G23" s="68">
        <v>177.8</v>
      </c>
      <c r="H23" s="68">
        <v>177</v>
      </c>
      <c r="I23" s="68">
        <v>176.9</v>
      </c>
      <c r="J23" s="69">
        <v>175.5</v>
      </c>
      <c r="K23" s="68">
        <v>174.6</v>
      </c>
      <c r="L23" s="68">
        <v>174.7</v>
      </c>
      <c r="M23" s="68">
        <v>171.2</v>
      </c>
      <c r="N23" s="70">
        <v>171.2</v>
      </c>
      <c r="O23" s="42"/>
    </row>
    <row r="24" spans="1:15" ht="15" thickBot="1" x14ac:dyDescent="0.4">
      <c r="A24" s="351"/>
      <c r="B24" s="66" t="s">
        <v>23</v>
      </c>
      <c r="C24" s="68">
        <v>108.9</v>
      </c>
      <c r="D24" s="68">
        <v>108.7</v>
      </c>
      <c r="E24" s="68">
        <v>110.5</v>
      </c>
      <c r="F24" s="68">
        <v>110.7</v>
      </c>
      <c r="G24" s="68">
        <v>111.8</v>
      </c>
      <c r="H24" s="68">
        <v>111.7</v>
      </c>
      <c r="I24" s="68">
        <v>111.8</v>
      </c>
      <c r="J24" s="69">
        <v>106.9</v>
      </c>
      <c r="K24" s="68">
        <v>109.2</v>
      </c>
      <c r="L24" s="68">
        <v>111.2</v>
      </c>
      <c r="M24" s="68">
        <v>112.1</v>
      </c>
      <c r="N24" s="70">
        <v>115.4</v>
      </c>
      <c r="O24" s="42"/>
    </row>
    <row r="25" spans="1:15" ht="15" thickBot="1" x14ac:dyDescent="0.4">
      <c r="A25" s="350">
        <v>8</v>
      </c>
      <c r="B25" s="66" t="s">
        <v>24</v>
      </c>
      <c r="C25" s="360"/>
      <c r="D25" s="361"/>
      <c r="E25" s="361"/>
      <c r="F25" s="361"/>
      <c r="G25" s="361"/>
      <c r="H25" s="361"/>
      <c r="I25" s="361"/>
      <c r="J25" s="361"/>
      <c r="K25" s="361"/>
      <c r="L25" s="361"/>
      <c r="M25" s="361"/>
      <c r="N25" s="362"/>
      <c r="O25" s="42"/>
    </row>
    <row r="26" spans="1:15" ht="15" thickBot="1" x14ac:dyDescent="0.4">
      <c r="A26" s="422"/>
      <c r="B26" s="66" t="s">
        <v>25</v>
      </c>
      <c r="C26" s="68">
        <v>61.51</v>
      </c>
      <c r="D26" s="68">
        <v>61.36</v>
      </c>
      <c r="E26" s="68">
        <v>62.88</v>
      </c>
      <c r="F26" s="68">
        <v>63.95</v>
      </c>
      <c r="G26" s="68">
        <v>65.14</v>
      </c>
      <c r="H26" s="68">
        <v>64.47</v>
      </c>
      <c r="I26" s="68">
        <v>64.400000000000006</v>
      </c>
      <c r="J26" s="69">
        <v>63.4</v>
      </c>
      <c r="K26" s="68">
        <v>62.63</v>
      </c>
      <c r="L26" s="68">
        <v>62.63</v>
      </c>
      <c r="M26" s="68">
        <v>60.24</v>
      </c>
      <c r="N26" s="70">
        <v>60.24</v>
      </c>
      <c r="O26" s="42"/>
    </row>
    <row r="27" spans="1:15" ht="15" thickBot="1" x14ac:dyDescent="0.4">
      <c r="A27" s="422"/>
      <c r="B27" s="66" t="s">
        <v>26</v>
      </c>
      <c r="C27" s="68">
        <v>8.0250000000000004</v>
      </c>
      <c r="D27" s="68">
        <v>8.0109999999999992</v>
      </c>
      <c r="E27" s="68">
        <v>8.2240000000000002</v>
      </c>
      <c r="F27" s="68">
        <v>8.3719999999999999</v>
      </c>
      <c r="G27" s="68">
        <v>8.5359999999999996</v>
      </c>
      <c r="H27" s="68">
        <v>8.4640000000000004</v>
      </c>
      <c r="I27" s="68">
        <v>8.4570000000000007</v>
      </c>
      <c r="J27" s="69">
        <v>8.407</v>
      </c>
      <c r="K27" s="68">
        <v>8.2729999999999997</v>
      </c>
      <c r="L27" s="68">
        <v>8.2729999999999997</v>
      </c>
      <c r="M27" s="68">
        <v>8.0429999999999993</v>
      </c>
      <c r="N27" s="70">
        <v>8.0429999999999993</v>
      </c>
      <c r="O27" s="42"/>
    </row>
    <row r="28" spans="1:15" ht="15" thickBot="1" x14ac:dyDescent="0.4">
      <c r="A28" s="351"/>
      <c r="B28" s="66" t="s">
        <v>27</v>
      </c>
      <c r="C28" s="68">
        <v>496.8</v>
      </c>
      <c r="D28" s="68">
        <v>497.4</v>
      </c>
      <c r="E28" s="68">
        <v>499.8</v>
      </c>
      <c r="F28" s="68">
        <v>501.2</v>
      </c>
      <c r="G28" s="68">
        <v>503.1</v>
      </c>
      <c r="H28" s="68">
        <v>505.2</v>
      </c>
      <c r="I28" s="68">
        <v>505.4</v>
      </c>
      <c r="J28" s="69">
        <v>511.5</v>
      </c>
      <c r="K28" s="68">
        <v>512.20000000000005</v>
      </c>
      <c r="L28" s="68">
        <v>512.20000000000005</v>
      </c>
      <c r="M28" s="68">
        <v>525.70000000000005</v>
      </c>
      <c r="N28" s="70">
        <v>526.70000000000005</v>
      </c>
      <c r="O28" s="42"/>
    </row>
    <row r="29" spans="1:15" ht="15" thickBot="1" x14ac:dyDescent="0.4">
      <c r="A29" s="350">
        <v>9</v>
      </c>
      <c r="B29" s="66" t="s">
        <v>28</v>
      </c>
      <c r="C29" s="360"/>
      <c r="D29" s="361"/>
      <c r="E29" s="361"/>
      <c r="F29" s="361"/>
      <c r="G29" s="361"/>
      <c r="H29" s="361"/>
      <c r="I29" s="361"/>
      <c r="J29" s="361"/>
      <c r="K29" s="361"/>
      <c r="L29" s="361"/>
      <c r="M29" s="361"/>
      <c r="N29" s="362"/>
      <c r="O29" s="42"/>
    </row>
    <row r="30" spans="1:15" ht="15" thickBot="1" x14ac:dyDescent="0.4">
      <c r="A30" s="422"/>
      <c r="B30" s="66" t="s">
        <v>25</v>
      </c>
      <c r="C30" s="68">
        <v>15.51</v>
      </c>
      <c r="D30" s="68">
        <v>15.42</v>
      </c>
      <c r="E30" s="68">
        <v>15.59</v>
      </c>
      <c r="F30" s="68">
        <v>15.69</v>
      </c>
      <c r="G30" s="68">
        <v>15.78</v>
      </c>
      <c r="H30" s="68">
        <v>15.46</v>
      </c>
      <c r="I30" s="68">
        <v>15.43</v>
      </c>
      <c r="J30" s="69">
        <v>14.76</v>
      </c>
      <c r="K30" s="68">
        <v>14.49</v>
      </c>
      <c r="L30" s="68">
        <v>14.53</v>
      </c>
      <c r="M30" s="68">
        <v>13</v>
      </c>
      <c r="N30" s="70">
        <v>12.99</v>
      </c>
      <c r="O30" s="42"/>
    </row>
    <row r="31" spans="1:15" ht="15" thickBot="1" x14ac:dyDescent="0.4">
      <c r="A31" s="422"/>
      <c r="B31" s="66" t="s">
        <v>26</v>
      </c>
      <c r="C31" s="68">
        <v>0.68700000000000006</v>
      </c>
      <c r="D31" s="68">
        <v>0.68400000000000005</v>
      </c>
      <c r="E31" s="68">
        <v>0.69699999999999995</v>
      </c>
      <c r="F31" s="68">
        <v>0.70599999999999996</v>
      </c>
      <c r="G31" s="68">
        <v>0.71599999999999997</v>
      </c>
      <c r="H31" s="68">
        <v>0.70699999999999996</v>
      </c>
      <c r="I31" s="68">
        <v>0.70599999999999996</v>
      </c>
      <c r="J31" s="69">
        <v>0.69099999999999995</v>
      </c>
      <c r="K31" s="68">
        <v>0.68</v>
      </c>
      <c r="L31" s="68">
        <v>0.68100000000000005</v>
      </c>
      <c r="M31" s="68">
        <v>0.64400000000000002</v>
      </c>
      <c r="N31" s="70">
        <v>0.64400000000000002</v>
      </c>
      <c r="O31" s="42"/>
    </row>
    <row r="32" spans="1:15" ht="15" thickBot="1" x14ac:dyDescent="0.4">
      <c r="A32" s="423"/>
      <c r="B32" s="75" t="s">
        <v>27</v>
      </c>
      <c r="C32" s="77">
        <v>212.3</v>
      </c>
      <c r="D32" s="77">
        <v>212.2</v>
      </c>
      <c r="E32" s="77">
        <v>212.7</v>
      </c>
      <c r="F32" s="77">
        <v>213.1</v>
      </c>
      <c r="G32" s="77">
        <v>213.4</v>
      </c>
      <c r="H32" s="77">
        <v>212.8</v>
      </c>
      <c r="I32" s="77">
        <v>212.8</v>
      </c>
      <c r="J32" s="78">
        <v>211.6</v>
      </c>
      <c r="K32" s="77">
        <v>211</v>
      </c>
      <c r="L32" s="77">
        <v>211</v>
      </c>
      <c r="M32" s="77">
        <v>208</v>
      </c>
      <c r="N32" s="79">
        <v>208</v>
      </c>
      <c r="O32" s="42"/>
    </row>
    <row r="33" spans="1:27" ht="15.5" thickTop="1" thickBot="1" x14ac:dyDescent="0.4">
      <c r="A33" s="430" t="s">
        <v>29</v>
      </c>
      <c r="B33" s="431"/>
      <c r="C33" s="431"/>
      <c r="D33" s="431"/>
      <c r="E33" s="431"/>
      <c r="F33" s="431"/>
      <c r="G33" s="431"/>
      <c r="H33" s="431"/>
      <c r="I33" s="431"/>
      <c r="J33" s="431"/>
      <c r="K33" s="431"/>
      <c r="L33" s="431"/>
      <c r="M33" s="431"/>
      <c r="N33" s="432"/>
      <c r="O33" s="42"/>
    </row>
    <row r="34" spans="1:27" ht="29" thickTop="1" thickBot="1" x14ac:dyDescent="0.4">
      <c r="A34" s="378">
        <v>10</v>
      </c>
      <c r="B34" s="66" t="s">
        <v>30</v>
      </c>
      <c r="C34" s="366"/>
      <c r="D34" s="367"/>
      <c r="E34" s="367"/>
      <c r="F34" s="367"/>
      <c r="G34" s="367"/>
      <c r="H34" s="367"/>
      <c r="I34" s="367"/>
      <c r="J34" s="367"/>
      <c r="K34" s="367"/>
      <c r="L34" s="367"/>
      <c r="M34" s="367"/>
      <c r="N34" s="368"/>
      <c r="O34" s="42"/>
    </row>
    <row r="35" spans="1:27" ht="15" thickBot="1" x14ac:dyDescent="0.4">
      <c r="A35" s="358"/>
      <c r="B35" s="66" t="s">
        <v>25</v>
      </c>
      <c r="C35" s="180">
        <v>61.51</v>
      </c>
      <c r="D35" s="67">
        <v>61.36</v>
      </c>
      <c r="E35" s="68">
        <v>62.88</v>
      </c>
      <c r="F35" s="68">
        <v>63.95</v>
      </c>
      <c r="G35" s="68">
        <v>65.14</v>
      </c>
      <c r="H35" s="68">
        <v>64.47</v>
      </c>
      <c r="I35" s="68">
        <v>64.400000000000006</v>
      </c>
      <c r="J35" s="69">
        <v>63.4</v>
      </c>
      <c r="K35" s="67">
        <v>62.63</v>
      </c>
      <c r="L35" s="68">
        <v>62.63</v>
      </c>
      <c r="M35" s="68">
        <v>60.24</v>
      </c>
      <c r="N35" s="70">
        <v>60.24</v>
      </c>
      <c r="O35" s="42"/>
    </row>
    <row r="36" spans="1:27" ht="15" thickBot="1" x14ac:dyDescent="0.4">
      <c r="A36" s="358"/>
      <c r="B36" s="66" t="s">
        <v>26</v>
      </c>
      <c r="C36" s="180">
        <v>7.4930000000000003</v>
      </c>
      <c r="D36" s="67">
        <v>7.48</v>
      </c>
      <c r="E36" s="68">
        <v>7.6760000000000002</v>
      </c>
      <c r="F36" s="68">
        <v>7.8109999999999999</v>
      </c>
      <c r="G36" s="68">
        <v>7.9610000000000003</v>
      </c>
      <c r="H36" s="68">
        <v>7.8959999999999999</v>
      </c>
      <c r="I36" s="68">
        <v>7.8890000000000002</v>
      </c>
      <c r="J36" s="69">
        <v>7.8449999999999998</v>
      </c>
      <c r="K36" s="67">
        <v>7.7229999999999999</v>
      </c>
      <c r="L36" s="68">
        <v>7.7229999999999999</v>
      </c>
      <c r="M36" s="68">
        <v>7.5170000000000003</v>
      </c>
      <c r="N36" s="70">
        <v>7.5170000000000003</v>
      </c>
      <c r="O36" s="42"/>
    </row>
    <row r="37" spans="1:27" ht="15" thickBot="1" x14ac:dyDescent="0.4">
      <c r="A37" s="353"/>
      <c r="B37" s="66" t="s">
        <v>32</v>
      </c>
      <c r="C37" s="180">
        <v>493.8</v>
      </c>
      <c r="D37" s="67">
        <v>494.5</v>
      </c>
      <c r="E37" s="68">
        <v>496.8</v>
      </c>
      <c r="F37" s="68">
        <v>498.2</v>
      </c>
      <c r="G37" s="68">
        <v>500</v>
      </c>
      <c r="H37" s="68">
        <v>502.2</v>
      </c>
      <c r="I37" s="68">
        <v>502.4</v>
      </c>
      <c r="J37" s="69">
        <v>508.6</v>
      </c>
      <c r="K37" s="67">
        <v>509.4</v>
      </c>
      <c r="L37" s="68">
        <v>509.4</v>
      </c>
      <c r="M37" s="68">
        <v>524</v>
      </c>
      <c r="N37" s="70">
        <v>524</v>
      </c>
      <c r="O37" s="42"/>
    </row>
    <row r="38" spans="1:27" ht="28.5" thickBot="1" x14ac:dyDescent="0.4">
      <c r="A38" s="352">
        <v>11</v>
      </c>
      <c r="B38" s="66" t="s">
        <v>33</v>
      </c>
      <c r="C38" s="181"/>
      <c r="D38" s="182"/>
      <c r="E38" s="182"/>
      <c r="F38" s="182"/>
      <c r="G38" s="182"/>
      <c r="H38" s="182"/>
      <c r="I38" s="182"/>
      <c r="J38" s="182"/>
      <c r="K38" s="183"/>
      <c r="L38" s="184"/>
      <c r="M38" s="182"/>
      <c r="N38" s="185"/>
      <c r="O38" s="42"/>
    </row>
    <row r="39" spans="1:27" ht="15" thickBot="1" x14ac:dyDescent="0.4">
      <c r="A39" s="358"/>
      <c r="B39" s="66" t="s">
        <v>25</v>
      </c>
      <c r="C39" s="180">
        <v>15.51</v>
      </c>
      <c r="D39" s="67">
        <v>15.42</v>
      </c>
      <c r="E39" s="68">
        <v>15.59</v>
      </c>
      <c r="F39" s="68">
        <v>15.69</v>
      </c>
      <c r="G39" s="68">
        <v>15.78</v>
      </c>
      <c r="H39" s="68">
        <v>15.46</v>
      </c>
      <c r="I39" s="68">
        <v>15.43</v>
      </c>
      <c r="J39" s="69">
        <v>14.76</v>
      </c>
      <c r="K39" s="67">
        <v>14.49</v>
      </c>
      <c r="L39" s="68">
        <v>14.53</v>
      </c>
      <c r="M39" s="68">
        <v>13</v>
      </c>
      <c r="N39" s="70">
        <v>12.99</v>
      </c>
      <c r="O39" s="42"/>
    </row>
    <row r="40" spans="1:27" ht="15" thickBot="1" x14ac:dyDescent="0.4">
      <c r="A40" s="358"/>
      <c r="B40" s="66" t="s">
        <v>26</v>
      </c>
      <c r="C40" s="180">
        <v>0.59799999999999998</v>
      </c>
      <c r="D40" s="67">
        <v>0.59599999999999997</v>
      </c>
      <c r="E40" s="68">
        <v>0.60799999999999998</v>
      </c>
      <c r="F40" s="68">
        <v>0.61699999999999999</v>
      </c>
      <c r="G40" s="68">
        <v>0.627</v>
      </c>
      <c r="H40" s="68">
        <v>0.62</v>
      </c>
      <c r="I40" s="68">
        <v>0.61899999999999999</v>
      </c>
      <c r="J40" s="69">
        <v>0.61099999999999999</v>
      </c>
      <c r="K40" s="67">
        <v>0.60199999999999998</v>
      </c>
      <c r="L40" s="68">
        <v>0.60199999999999998</v>
      </c>
      <c r="M40" s="68">
        <v>0.57799999999999996</v>
      </c>
      <c r="N40" s="70">
        <v>0.57899999999999996</v>
      </c>
      <c r="O40" s="42"/>
      <c r="P40" s="169">
        <f>C40-C44</f>
        <v>6.1999999999999944E-2</v>
      </c>
      <c r="Q40" s="169">
        <f t="shared" ref="Q40:W40" si="0">D40-D44</f>
        <v>6.1999999999999944E-2</v>
      </c>
      <c r="R40" s="169">
        <f t="shared" si="0"/>
        <v>6.1999999999999944E-2</v>
      </c>
      <c r="S40" s="169">
        <f t="shared" si="0"/>
        <v>6.1999999999999944E-2</v>
      </c>
      <c r="T40" s="169">
        <f t="shared" si="0"/>
        <v>6.2000000000000055E-2</v>
      </c>
      <c r="U40" s="169">
        <f t="shared" si="0"/>
        <v>6.1999999999999944E-2</v>
      </c>
      <c r="V40" s="169">
        <f t="shared" si="0"/>
        <v>6.1999999999999944E-2</v>
      </c>
      <c r="W40" s="169">
        <f t="shared" si="0"/>
        <v>6.1999999999999944E-2</v>
      </c>
      <c r="X40" s="169">
        <f>K40-K44</f>
        <v>6.1999999999999944E-2</v>
      </c>
      <c r="Y40" s="169">
        <f t="shared" ref="Y40" si="1">L40-L44</f>
        <v>6.1999999999999944E-2</v>
      </c>
      <c r="Z40" s="169">
        <f t="shared" ref="Z40" si="2">M40-M44</f>
        <v>6.1999999999999944E-2</v>
      </c>
      <c r="AA40" s="169">
        <f t="shared" ref="AA40" si="3">N40-N44</f>
        <v>6.1999999999999944E-2</v>
      </c>
    </row>
    <row r="41" spans="1:27" ht="15" thickBot="1" x14ac:dyDescent="0.4">
      <c r="A41" s="353"/>
      <c r="B41" s="66" t="s">
        <v>27</v>
      </c>
      <c r="C41" s="180">
        <v>210.3</v>
      </c>
      <c r="D41" s="67" t="s">
        <v>171</v>
      </c>
      <c r="E41" s="68">
        <v>210.7</v>
      </c>
      <c r="F41" s="68">
        <v>211.1</v>
      </c>
      <c r="G41" s="68">
        <v>211.4</v>
      </c>
      <c r="H41" s="68">
        <v>210.8</v>
      </c>
      <c r="I41" s="68">
        <v>210.8</v>
      </c>
      <c r="J41" s="69">
        <v>209.8</v>
      </c>
      <c r="K41" s="67">
        <v>209.2</v>
      </c>
      <c r="L41" s="68">
        <v>209.2</v>
      </c>
      <c r="M41" s="68">
        <v>206.5</v>
      </c>
      <c r="N41" s="70">
        <v>206.5</v>
      </c>
      <c r="O41" s="42"/>
    </row>
    <row r="42" spans="1:27" ht="15" thickBot="1" x14ac:dyDescent="0.4">
      <c r="A42" s="352">
        <v>12</v>
      </c>
      <c r="B42" s="66" t="s">
        <v>34</v>
      </c>
      <c r="C42" s="181"/>
      <c r="D42" s="182"/>
      <c r="E42" s="182"/>
      <c r="F42" s="182"/>
      <c r="G42" s="182"/>
      <c r="H42" s="182"/>
      <c r="I42" s="182"/>
      <c r="J42" s="182"/>
      <c r="K42" s="183"/>
      <c r="L42" s="184"/>
      <c r="M42" s="182"/>
      <c r="N42" s="185"/>
      <c r="O42" s="42"/>
    </row>
    <row r="43" spans="1:27" ht="15" thickBot="1" x14ac:dyDescent="0.4">
      <c r="A43" s="358"/>
      <c r="B43" s="66" t="s">
        <v>31</v>
      </c>
      <c r="C43" s="180">
        <v>76.72</v>
      </c>
      <c r="D43" s="67">
        <v>76.5</v>
      </c>
      <c r="E43" s="68">
        <v>78.17</v>
      </c>
      <c r="F43" s="68">
        <v>79.33</v>
      </c>
      <c r="G43" s="68">
        <v>80.61</v>
      </c>
      <c r="H43" s="68">
        <v>79.62</v>
      </c>
      <c r="I43" s="68">
        <v>79.52</v>
      </c>
      <c r="J43" s="69">
        <v>78.16</v>
      </c>
      <c r="K43" s="67">
        <v>76.819999999999993</v>
      </c>
      <c r="L43" s="68">
        <v>76.86</v>
      </c>
      <c r="M43" s="68">
        <v>72.94</v>
      </c>
      <c r="N43" s="70">
        <v>72.94</v>
      </c>
      <c r="O43" s="42"/>
    </row>
    <row r="44" spans="1:27" ht="15" thickBot="1" x14ac:dyDescent="0.4">
      <c r="A44" s="358"/>
      <c r="B44" s="66" t="s">
        <v>26</v>
      </c>
      <c r="C44" s="180">
        <v>0.53600000000000003</v>
      </c>
      <c r="D44" s="67">
        <v>0.53400000000000003</v>
      </c>
      <c r="E44" s="68">
        <v>0.54600000000000004</v>
      </c>
      <c r="F44" s="68">
        <v>0.55500000000000005</v>
      </c>
      <c r="G44" s="68">
        <v>0.56499999999999995</v>
      </c>
      <c r="H44" s="68">
        <v>0.55800000000000005</v>
      </c>
      <c r="I44" s="68">
        <v>0.55700000000000005</v>
      </c>
      <c r="J44" s="69">
        <v>0.54900000000000004</v>
      </c>
      <c r="K44" s="67">
        <v>0.54</v>
      </c>
      <c r="L44" s="68">
        <v>0.54</v>
      </c>
      <c r="M44" s="68">
        <v>0.51600000000000001</v>
      </c>
      <c r="N44" s="70">
        <v>0.51700000000000002</v>
      </c>
      <c r="O44" s="42"/>
    </row>
    <row r="45" spans="1:27" ht="15" thickBot="1" x14ac:dyDescent="0.4">
      <c r="A45" s="353"/>
      <c r="B45" s="66" t="s">
        <v>35</v>
      </c>
      <c r="C45" s="180">
        <v>191.6</v>
      </c>
      <c r="D45" s="67">
        <v>191.9</v>
      </c>
      <c r="E45" s="68">
        <v>192.8</v>
      </c>
      <c r="F45" s="68">
        <v>193.3</v>
      </c>
      <c r="G45" s="68">
        <v>194.4</v>
      </c>
      <c r="H45" s="68">
        <v>195.1</v>
      </c>
      <c r="I45" s="68">
        <v>195.2</v>
      </c>
      <c r="J45" s="69">
        <v>197.8</v>
      </c>
      <c r="K45" s="67">
        <v>198</v>
      </c>
      <c r="L45" s="68">
        <v>198</v>
      </c>
      <c r="M45" s="68">
        <v>204.7</v>
      </c>
      <c r="N45" s="70">
        <v>204.6</v>
      </c>
      <c r="O45" s="42"/>
    </row>
    <row r="46" spans="1:27" ht="15" thickBot="1" x14ac:dyDescent="0.4">
      <c r="A46" s="352">
        <v>13</v>
      </c>
      <c r="B46" s="66" t="s">
        <v>36</v>
      </c>
      <c r="C46" s="181"/>
      <c r="D46" s="182"/>
      <c r="E46" s="182"/>
      <c r="F46" s="182"/>
      <c r="G46" s="182"/>
      <c r="H46" s="182"/>
      <c r="I46" s="182"/>
      <c r="J46" s="182"/>
      <c r="K46" s="182"/>
      <c r="L46" s="182"/>
      <c r="M46" s="182"/>
      <c r="N46" s="185"/>
      <c r="O46" s="42"/>
    </row>
    <row r="47" spans="1:27" ht="15" thickBot="1" x14ac:dyDescent="0.4">
      <c r="A47" s="358"/>
      <c r="B47" s="66" t="s">
        <v>31</v>
      </c>
      <c r="C47" s="68">
        <v>0</v>
      </c>
      <c r="D47" s="68">
        <v>0</v>
      </c>
      <c r="E47" s="68">
        <v>0</v>
      </c>
      <c r="F47" s="68">
        <v>0</v>
      </c>
      <c r="G47" s="68">
        <v>0</v>
      </c>
      <c r="H47" s="68">
        <v>0</v>
      </c>
      <c r="I47" s="68">
        <v>0</v>
      </c>
      <c r="J47" s="69">
        <v>0</v>
      </c>
      <c r="K47" s="68">
        <v>0</v>
      </c>
      <c r="L47" s="68">
        <v>0</v>
      </c>
      <c r="M47" s="68">
        <v>0</v>
      </c>
      <c r="N47" s="70">
        <v>0</v>
      </c>
      <c r="O47" s="42"/>
    </row>
    <row r="48" spans="1:27" ht="15" thickBot="1" x14ac:dyDescent="0.4">
      <c r="A48" s="358"/>
      <c r="B48" s="66" t="s">
        <v>26</v>
      </c>
      <c r="C48" s="180">
        <v>0.24829999999999999</v>
      </c>
      <c r="D48" s="67">
        <v>0.24759999999999999</v>
      </c>
      <c r="E48" s="68">
        <v>0.25330000000000003</v>
      </c>
      <c r="F48" s="68">
        <v>0.25719999999999998</v>
      </c>
      <c r="G48" s="68">
        <v>0.2616</v>
      </c>
      <c r="H48" s="68">
        <v>0.25850000000000001</v>
      </c>
      <c r="I48" s="68">
        <v>0.25819999999999999</v>
      </c>
      <c r="J48" s="69">
        <v>0.25419999999999998</v>
      </c>
      <c r="K48" s="67">
        <v>0.25</v>
      </c>
      <c r="L48" s="68">
        <v>0.25019999999999998</v>
      </c>
      <c r="M48" s="68">
        <v>0.2392</v>
      </c>
      <c r="N48" s="70">
        <v>0.23980000000000001</v>
      </c>
      <c r="O48" s="42"/>
    </row>
    <row r="49" spans="1:15" ht="15" thickBot="1" x14ac:dyDescent="0.4">
      <c r="A49" s="353"/>
      <c r="B49" s="66" t="s">
        <v>27</v>
      </c>
      <c r="C49" s="180">
        <v>127.2</v>
      </c>
      <c r="D49" s="67">
        <v>127.1</v>
      </c>
      <c r="E49" s="68">
        <v>127.8</v>
      </c>
      <c r="F49" s="68">
        <v>128.30000000000001</v>
      </c>
      <c r="G49" s="68">
        <v>128.9</v>
      </c>
      <c r="H49" s="68">
        <v>129</v>
      </c>
      <c r="I49" s="68">
        <v>129.19999999999999</v>
      </c>
      <c r="J49" s="69">
        <v>131.4</v>
      </c>
      <c r="K49" s="67">
        <v>131.6</v>
      </c>
      <c r="L49" s="68">
        <v>131.69999999999999</v>
      </c>
      <c r="M49" s="68">
        <v>137.6</v>
      </c>
      <c r="N49" s="70">
        <v>137.69999999999999</v>
      </c>
      <c r="O49" s="42"/>
    </row>
    <row r="50" spans="1:15" ht="15" thickBot="1" x14ac:dyDescent="0.4">
      <c r="A50" s="352">
        <v>14</v>
      </c>
      <c r="B50" s="66" t="s">
        <v>37</v>
      </c>
      <c r="C50" s="181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5"/>
      <c r="O50" s="42"/>
    </row>
    <row r="51" spans="1:15" ht="15" thickBot="1" x14ac:dyDescent="0.4">
      <c r="A51" s="358"/>
      <c r="B51" s="66" t="s">
        <v>31</v>
      </c>
      <c r="C51" s="68">
        <v>0</v>
      </c>
      <c r="D51" s="68">
        <v>0</v>
      </c>
      <c r="E51" s="68">
        <v>0</v>
      </c>
      <c r="F51" s="68">
        <v>0</v>
      </c>
      <c r="G51" s="68">
        <v>0</v>
      </c>
      <c r="H51" s="68">
        <v>0</v>
      </c>
      <c r="I51" s="68">
        <v>0</v>
      </c>
      <c r="J51" s="69">
        <v>0</v>
      </c>
      <c r="K51" s="68">
        <v>0</v>
      </c>
      <c r="L51" s="68">
        <v>0</v>
      </c>
      <c r="M51" s="68">
        <v>0</v>
      </c>
      <c r="N51" s="70">
        <v>0</v>
      </c>
      <c r="O51" s="42"/>
    </row>
    <row r="52" spans="1:15" ht="15" thickBot="1" x14ac:dyDescent="0.4">
      <c r="A52" s="358"/>
      <c r="B52" s="66" t="s">
        <v>26</v>
      </c>
      <c r="C52" s="180">
        <v>0.1492</v>
      </c>
      <c r="D52" s="67">
        <v>0.1487</v>
      </c>
      <c r="E52" s="68">
        <v>0.1522</v>
      </c>
      <c r="F52" s="68">
        <v>0.15459999999999999</v>
      </c>
      <c r="G52" s="68">
        <v>0.15720000000000001</v>
      </c>
      <c r="H52" s="68">
        <v>0.15540000000000001</v>
      </c>
      <c r="I52" s="68">
        <v>0.1552</v>
      </c>
      <c r="J52" s="69">
        <v>0.1525</v>
      </c>
      <c r="K52" s="67">
        <v>0.15</v>
      </c>
      <c r="L52" s="68">
        <v>0.15029999999999999</v>
      </c>
      <c r="M52" s="68">
        <v>0.14369999999999999</v>
      </c>
      <c r="N52" s="70">
        <v>0.14460000000000001</v>
      </c>
      <c r="O52" s="42"/>
    </row>
    <row r="53" spans="1:15" ht="15" thickBot="1" x14ac:dyDescent="0.4">
      <c r="A53" s="353"/>
      <c r="B53" s="66" t="s">
        <v>27</v>
      </c>
      <c r="C53" s="180">
        <v>111.2</v>
      </c>
      <c r="D53" s="67">
        <v>111.1</v>
      </c>
      <c r="E53" s="68">
        <v>111.8</v>
      </c>
      <c r="F53" s="68">
        <v>112.2</v>
      </c>
      <c r="G53" s="68">
        <v>112.8</v>
      </c>
      <c r="H53" s="68">
        <v>112.4</v>
      </c>
      <c r="I53" s="68">
        <v>112.4</v>
      </c>
      <c r="J53" s="69">
        <v>111.8</v>
      </c>
      <c r="K53" s="67">
        <v>111.3</v>
      </c>
      <c r="L53" s="68">
        <v>111.4</v>
      </c>
      <c r="M53" s="68">
        <v>110.1</v>
      </c>
      <c r="N53" s="70">
        <v>110.2</v>
      </c>
      <c r="O53" s="42"/>
    </row>
    <row r="54" spans="1:15" ht="15" thickBot="1" x14ac:dyDescent="0.4">
      <c r="A54" s="352">
        <v>15</v>
      </c>
      <c r="B54" s="66" t="s">
        <v>38</v>
      </c>
      <c r="C54" s="181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5"/>
      <c r="O54" s="42"/>
    </row>
    <row r="55" spans="1:15" ht="15" thickBot="1" x14ac:dyDescent="0.4">
      <c r="A55" s="358"/>
      <c r="B55" s="66" t="s">
        <v>31</v>
      </c>
      <c r="C55" s="180">
        <v>76.72</v>
      </c>
      <c r="D55" s="67">
        <v>76.5</v>
      </c>
      <c r="E55" s="68">
        <v>78.17</v>
      </c>
      <c r="F55" s="68">
        <v>79.33</v>
      </c>
      <c r="G55" s="68">
        <v>80.61</v>
      </c>
      <c r="H55" s="68">
        <v>79.62</v>
      </c>
      <c r="I55" s="68">
        <v>79.52</v>
      </c>
      <c r="J55" s="69">
        <v>78.16</v>
      </c>
      <c r="K55" s="67">
        <v>76.819999999999993</v>
      </c>
      <c r="L55" s="68">
        <v>76.86</v>
      </c>
      <c r="M55" s="68">
        <v>72.94</v>
      </c>
      <c r="N55" s="70">
        <v>72.94</v>
      </c>
      <c r="O55" s="42"/>
    </row>
    <row r="56" spans="1:15" ht="15" thickBot="1" x14ac:dyDescent="0.4">
      <c r="A56" s="358"/>
      <c r="B56" s="66" t="s">
        <v>27</v>
      </c>
      <c r="C56" s="180">
        <v>111.2</v>
      </c>
      <c r="D56" s="67">
        <v>111.1</v>
      </c>
      <c r="E56" s="68">
        <v>111.2</v>
      </c>
      <c r="F56" s="68">
        <v>112.2</v>
      </c>
      <c r="G56" s="68">
        <v>112.8</v>
      </c>
      <c r="H56" s="68">
        <v>112.4</v>
      </c>
      <c r="I56" s="68">
        <v>112.4</v>
      </c>
      <c r="J56" s="69">
        <v>111.8</v>
      </c>
      <c r="K56" s="67">
        <v>111.3</v>
      </c>
      <c r="L56" s="68">
        <v>111.4</v>
      </c>
      <c r="M56" s="68">
        <v>110.1</v>
      </c>
      <c r="N56" s="70">
        <v>110.2</v>
      </c>
      <c r="O56" s="42"/>
    </row>
    <row r="57" spans="1:15" ht="28.5" thickBot="1" x14ac:dyDescent="0.4">
      <c r="A57" s="358"/>
      <c r="B57" s="66" t="s">
        <v>39</v>
      </c>
      <c r="C57" s="104" t="s">
        <v>172</v>
      </c>
      <c r="D57" s="67" t="s">
        <v>173</v>
      </c>
      <c r="E57" s="68" t="s">
        <v>173</v>
      </c>
      <c r="F57" s="68" t="s">
        <v>174</v>
      </c>
      <c r="G57" s="68" t="s">
        <v>175</v>
      </c>
      <c r="H57" s="68" t="s">
        <v>176</v>
      </c>
      <c r="I57" s="68" t="s">
        <v>177</v>
      </c>
      <c r="J57" s="69" t="s">
        <v>178</v>
      </c>
      <c r="K57" s="67" t="s">
        <v>179</v>
      </c>
      <c r="L57" s="68" t="s">
        <v>179</v>
      </c>
      <c r="M57" s="68" t="s">
        <v>180</v>
      </c>
      <c r="N57" s="70" t="s">
        <v>181</v>
      </c>
      <c r="O57" s="42"/>
    </row>
    <row r="58" spans="1:15" ht="15" thickBot="1" x14ac:dyDescent="0.4">
      <c r="A58" s="358"/>
      <c r="B58" s="66" t="s">
        <v>48</v>
      </c>
      <c r="C58" s="104">
        <v>0</v>
      </c>
      <c r="D58" s="104">
        <v>0</v>
      </c>
      <c r="E58" s="68">
        <v>0</v>
      </c>
      <c r="F58" s="68">
        <v>0</v>
      </c>
      <c r="G58" s="68">
        <v>0</v>
      </c>
      <c r="H58" s="68">
        <v>0</v>
      </c>
      <c r="I58" s="68">
        <v>0</v>
      </c>
      <c r="J58" s="69">
        <v>0</v>
      </c>
      <c r="K58" s="104">
        <v>0</v>
      </c>
      <c r="L58" s="68">
        <v>0</v>
      </c>
      <c r="M58" s="68">
        <v>0</v>
      </c>
      <c r="N58" s="70">
        <v>0</v>
      </c>
      <c r="O58" s="42"/>
    </row>
    <row r="59" spans="1:15" ht="15" thickBot="1" x14ac:dyDescent="0.4">
      <c r="A59" s="358"/>
      <c r="B59" s="73" t="s">
        <v>49</v>
      </c>
      <c r="C59" s="68" t="s">
        <v>182</v>
      </c>
      <c r="D59" s="68" t="s">
        <v>182</v>
      </c>
      <c r="E59" s="68" t="s">
        <v>182</v>
      </c>
      <c r="F59" s="68" t="s">
        <v>182</v>
      </c>
      <c r="G59" s="68" t="s">
        <v>182</v>
      </c>
      <c r="H59" s="68" t="s">
        <v>182</v>
      </c>
      <c r="I59" s="68" t="s">
        <v>182</v>
      </c>
      <c r="J59" s="69" t="s">
        <v>182</v>
      </c>
      <c r="K59" s="68" t="s">
        <v>182</v>
      </c>
      <c r="L59" s="68" t="s">
        <v>182</v>
      </c>
      <c r="M59" s="68" t="s">
        <v>182</v>
      </c>
      <c r="N59" s="70" t="s">
        <v>182</v>
      </c>
      <c r="O59" s="42"/>
    </row>
    <row r="60" spans="1:15" ht="15" thickBot="1" x14ac:dyDescent="0.4">
      <c r="A60" s="358"/>
      <c r="B60" s="70" t="s">
        <v>50</v>
      </c>
      <c r="C60" s="68" t="s">
        <v>182</v>
      </c>
      <c r="D60" s="68" t="s">
        <v>182</v>
      </c>
      <c r="E60" s="68" t="s">
        <v>182</v>
      </c>
      <c r="F60" s="68" t="s">
        <v>182</v>
      </c>
      <c r="G60" s="68" t="s">
        <v>182</v>
      </c>
      <c r="H60" s="68" t="s">
        <v>182</v>
      </c>
      <c r="I60" s="68" t="s">
        <v>182</v>
      </c>
      <c r="J60" s="69" t="s">
        <v>182</v>
      </c>
      <c r="K60" s="68" t="s">
        <v>182</v>
      </c>
      <c r="L60" s="68" t="s">
        <v>182</v>
      </c>
      <c r="M60" s="68" t="s">
        <v>182</v>
      </c>
      <c r="N60" s="70" t="s">
        <v>182</v>
      </c>
      <c r="O60" s="42"/>
    </row>
    <row r="61" spans="1:15" ht="28.5" thickBot="1" x14ac:dyDescent="0.4">
      <c r="A61" s="358"/>
      <c r="B61" s="66" t="s">
        <v>51</v>
      </c>
      <c r="C61" s="68" t="s">
        <v>182</v>
      </c>
      <c r="D61" s="68" t="s">
        <v>182</v>
      </c>
      <c r="E61" s="68" t="s">
        <v>182</v>
      </c>
      <c r="F61" s="68" t="s">
        <v>182</v>
      </c>
      <c r="G61" s="68" t="s">
        <v>182</v>
      </c>
      <c r="H61" s="68" t="s">
        <v>182</v>
      </c>
      <c r="I61" s="68" t="s">
        <v>182</v>
      </c>
      <c r="J61" s="69" t="s">
        <v>182</v>
      </c>
      <c r="K61" s="68" t="s">
        <v>182</v>
      </c>
      <c r="L61" s="68" t="s">
        <v>182</v>
      </c>
      <c r="M61" s="68" t="s">
        <v>182</v>
      </c>
      <c r="N61" s="70" t="s">
        <v>182</v>
      </c>
      <c r="O61" s="42"/>
    </row>
    <row r="62" spans="1:15" ht="28.5" thickBot="1" x14ac:dyDescent="0.4">
      <c r="A62" s="359"/>
      <c r="B62" s="75" t="s">
        <v>52</v>
      </c>
      <c r="C62" s="77" t="s">
        <v>182</v>
      </c>
      <c r="D62" s="77" t="s">
        <v>182</v>
      </c>
      <c r="E62" s="77" t="s">
        <v>182</v>
      </c>
      <c r="F62" s="77" t="s">
        <v>182</v>
      </c>
      <c r="G62" s="77" t="s">
        <v>182</v>
      </c>
      <c r="H62" s="77" t="s">
        <v>182</v>
      </c>
      <c r="I62" s="77" t="s">
        <v>182</v>
      </c>
      <c r="J62" s="78" t="s">
        <v>182</v>
      </c>
      <c r="K62" s="77" t="s">
        <v>182</v>
      </c>
      <c r="L62" s="77" t="s">
        <v>182</v>
      </c>
      <c r="M62" s="77" t="s">
        <v>182</v>
      </c>
      <c r="N62" s="79" t="s">
        <v>182</v>
      </c>
      <c r="O62" s="42"/>
    </row>
    <row r="63" spans="1:15" ht="16.5" thickTop="1" thickBot="1" x14ac:dyDescent="0.4">
      <c r="A63" s="295">
        <v>16</v>
      </c>
      <c r="B63" s="130" t="s">
        <v>53</v>
      </c>
      <c r="C63" s="186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8"/>
      <c r="O63" s="42"/>
    </row>
    <row r="64" spans="1:15" ht="16" thickBot="1" x14ac:dyDescent="0.4">
      <c r="A64" s="314"/>
      <c r="B64" s="121" t="s">
        <v>31</v>
      </c>
      <c r="C64" s="127">
        <v>76.73</v>
      </c>
      <c r="D64" s="189">
        <v>76.489999999999995</v>
      </c>
      <c r="E64" s="127">
        <v>78.17</v>
      </c>
      <c r="F64" s="127">
        <v>79.33</v>
      </c>
      <c r="G64" s="127">
        <v>80.61</v>
      </c>
      <c r="H64" s="189">
        <v>79.62</v>
      </c>
      <c r="I64" s="190">
        <v>79.52</v>
      </c>
      <c r="J64" s="191">
        <v>78.16</v>
      </c>
      <c r="K64" s="127">
        <v>76.819999999999993</v>
      </c>
      <c r="L64" s="127">
        <v>76.86</v>
      </c>
      <c r="M64" s="127">
        <v>72.94</v>
      </c>
      <c r="N64" s="117">
        <v>72.94</v>
      </c>
      <c r="O64" s="42"/>
    </row>
    <row r="65" spans="1:15" ht="16.5" thickTop="1" thickBot="1" x14ac:dyDescent="0.4">
      <c r="A65" s="314"/>
      <c r="B65" s="123" t="s">
        <v>26</v>
      </c>
      <c r="C65" s="124">
        <v>7.0000000000000001E-3</v>
      </c>
      <c r="D65" s="192">
        <v>6.8999999999999999E-3</v>
      </c>
      <c r="E65" s="124">
        <v>8.3999999999999995E-3</v>
      </c>
      <c r="F65" s="124">
        <v>8.5000000000000006E-3</v>
      </c>
      <c r="G65" s="124">
        <v>0.01</v>
      </c>
      <c r="H65" s="192">
        <v>1.06E-2</v>
      </c>
      <c r="I65" s="193">
        <v>1.06E-2</v>
      </c>
      <c r="J65" s="194">
        <v>8.0000000000000002E-3</v>
      </c>
      <c r="K65" s="124">
        <v>0.01</v>
      </c>
      <c r="L65" s="124">
        <v>1.32E-2</v>
      </c>
      <c r="M65" s="124">
        <v>0.02</v>
      </c>
      <c r="N65" s="125">
        <v>2.52E-2</v>
      </c>
      <c r="O65" s="42"/>
    </row>
    <row r="66" spans="1:15" ht="47" thickBot="1" x14ac:dyDescent="0.4">
      <c r="A66" s="294"/>
      <c r="B66" s="121" t="s">
        <v>39</v>
      </c>
      <c r="C66" s="127" t="s">
        <v>183</v>
      </c>
      <c r="D66" s="189" t="s">
        <v>184</v>
      </c>
      <c r="E66" s="127" t="s">
        <v>185</v>
      </c>
      <c r="F66" s="127" t="s">
        <v>186</v>
      </c>
      <c r="G66" s="127" t="s">
        <v>187</v>
      </c>
      <c r="H66" s="189" t="s">
        <v>188</v>
      </c>
      <c r="I66" s="190" t="s">
        <v>189</v>
      </c>
      <c r="J66" s="191" t="s">
        <v>190</v>
      </c>
      <c r="K66" s="127" t="s">
        <v>191</v>
      </c>
      <c r="L66" s="127" t="s">
        <v>192</v>
      </c>
      <c r="M66" s="127" t="s">
        <v>193</v>
      </c>
      <c r="N66" s="117" t="s">
        <v>194</v>
      </c>
      <c r="O66" s="42"/>
    </row>
    <row r="67" spans="1:15" ht="16" thickTop="1" thickBot="1" x14ac:dyDescent="0.4">
      <c r="A67" s="302" t="s">
        <v>63</v>
      </c>
      <c r="B67" s="303"/>
      <c r="C67" s="303"/>
      <c r="D67" s="303"/>
      <c r="E67" s="303"/>
      <c r="F67" s="303"/>
      <c r="G67" s="303"/>
      <c r="H67" s="303"/>
      <c r="I67" s="303"/>
      <c r="J67" s="303"/>
      <c r="K67" s="303"/>
      <c r="L67" s="303"/>
      <c r="M67" s="303"/>
      <c r="N67" s="304"/>
      <c r="O67" s="42"/>
    </row>
    <row r="68" spans="1:15" ht="16.5" thickTop="1" thickBot="1" x14ac:dyDescent="0.4">
      <c r="A68" s="134">
        <v>17</v>
      </c>
      <c r="B68" s="121" t="s">
        <v>26</v>
      </c>
      <c r="C68" s="127">
        <v>7.0000000000000001E-3</v>
      </c>
      <c r="D68" s="189">
        <v>6.8999999999999999E-3</v>
      </c>
      <c r="E68" s="127">
        <v>8.3999999999999995E-3</v>
      </c>
      <c r="F68" s="127">
        <v>8.5000000000000006E-3</v>
      </c>
      <c r="G68" s="127">
        <v>9.5999999999999992E-3</v>
      </c>
      <c r="H68" s="189">
        <v>1.06E-2</v>
      </c>
      <c r="I68" s="195">
        <v>1.06E-2</v>
      </c>
      <c r="J68" s="191">
        <v>8.0000000000000002E-3</v>
      </c>
      <c r="K68" s="127">
        <v>1.01E-2</v>
      </c>
      <c r="L68" s="127">
        <v>1.3100000000000001E-2</v>
      </c>
      <c r="M68" s="127">
        <v>0.02</v>
      </c>
      <c r="N68" s="117">
        <v>2.52E-2</v>
      </c>
      <c r="O68" s="42"/>
    </row>
    <row r="69" spans="1:15" ht="32" thickTop="1" thickBot="1" x14ac:dyDescent="0.4">
      <c r="A69" s="135">
        <v>18</v>
      </c>
      <c r="B69" s="123" t="s">
        <v>64</v>
      </c>
      <c r="C69" s="124">
        <v>38.9</v>
      </c>
      <c r="D69" s="196">
        <v>38.9</v>
      </c>
      <c r="E69" s="124">
        <v>42.3</v>
      </c>
      <c r="F69" s="124">
        <v>42.8</v>
      </c>
      <c r="G69" s="124">
        <v>45</v>
      </c>
      <c r="H69" s="196">
        <v>46.9</v>
      </c>
      <c r="I69" s="196">
        <v>46.8</v>
      </c>
      <c r="J69" s="194">
        <v>41.4</v>
      </c>
      <c r="K69" s="124">
        <v>46</v>
      </c>
      <c r="L69" s="124">
        <v>51</v>
      </c>
      <c r="M69" s="124">
        <v>60.1</v>
      </c>
      <c r="N69" s="125">
        <v>65.099999999999994</v>
      </c>
      <c r="O69" s="42"/>
    </row>
    <row r="70" spans="1:15" ht="31.5" thickBot="1" x14ac:dyDescent="0.4">
      <c r="A70" s="134">
        <v>19</v>
      </c>
      <c r="B70" s="121" t="s">
        <v>65</v>
      </c>
      <c r="C70" s="127">
        <v>3611</v>
      </c>
      <c r="D70" s="189">
        <v>3611</v>
      </c>
      <c r="E70" s="127">
        <v>3611</v>
      </c>
      <c r="F70" s="127">
        <v>3611</v>
      </c>
      <c r="G70" s="127">
        <v>3611</v>
      </c>
      <c r="H70" s="189">
        <v>3611</v>
      </c>
      <c r="I70" s="190">
        <v>3611</v>
      </c>
      <c r="J70" s="191">
        <v>3611</v>
      </c>
      <c r="K70" s="127">
        <v>3611</v>
      </c>
      <c r="L70" s="127">
        <v>3611</v>
      </c>
      <c r="M70" s="127">
        <v>3611</v>
      </c>
      <c r="N70" s="117">
        <v>3611</v>
      </c>
      <c r="O70" s="42"/>
    </row>
    <row r="71" spans="1:15" ht="32" thickTop="1" thickBot="1" x14ac:dyDescent="0.4">
      <c r="A71" s="134">
        <v>20</v>
      </c>
      <c r="B71" s="121" t="s">
        <v>66</v>
      </c>
      <c r="C71" s="127">
        <v>13</v>
      </c>
      <c r="D71" s="197">
        <v>13</v>
      </c>
      <c r="E71" s="127">
        <v>16</v>
      </c>
      <c r="F71" s="127">
        <v>16</v>
      </c>
      <c r="G71" s="127">
        <v>18</v>
      </c>
      <c r="H71" s="197">
        <v>20</v>
      </c>
      <c r="I71" s="197">
        <v>20</v>
      </c>
      <c r="J71" s="191">
        <v>15</v>
      </c>
      <c r="K71" s="127">
        <v>20</v>
      </c>
      <c r="L71" s="127">
        <v>25</v>
      </c>
      <c r="M71" s="127">
        <v>35</v>
      </c>
      <c r="N71" s="117">
        <v>40</v>
      </c>
      <c r="O71" s="42"/>
    </row>
    <row r="72" spans="1:15" ht="32" thickTop="1" thickBot="1" x14ac:dyDescent="0.4">
      <c r="A72" s="134">
        <v>21</v>
      </c>
      <c r="B72" s="121" t="s">
        <v>67</v>
      </c>
      <c r="C72" s="127">
        <v>24</v>
      </c>
      <c r="D72" s="197">
        <v>24</v>
      </c>
      <c r="E72" s="127">
        <v>27.2</v>
      </c>
      <c r="F72" s="127">
        <v>27.3</v>
      </c>
      <c r="G72" s="127">
        <v>29.5</v>
      </c>
      <c r="H72" s="190">
        <v>31.4</v>
      </c>
      <c r="I72" s="190">
        <v>31.4</v>
      </c>
      <c r="J72" s="191">
        <v>26.3</v>
      </c>
      <c r="K72" s="127">
        <v>31</v>
      </c>
      <c r="L72" s="127">
        <v>36</v>
      </c>
      <c r="M72" s="127">
        <v>45.6</v>
      </c>
      <c r="N72" s="117">
        <v>50.6</v>
      </c>
      <c r="O72" s="42"/>
    </row>
    <row r="73" spans="1:15" ht="31.5" thickTop="1" x14ac:dyDescent="0.35">
      <c r="A73" s="289">
        <v>22</v>
      </c>
      <c r="B73" s="59" t="s">
        <v>71</v>
      </c>
      <c r="C73" s="137"/>
      <c r="D73" s="137"/>
      <c r="E73" s="137"/>
      <c r="F73" s="137"/>
      <c r="G73" s="137"/>
      <c r="H73" s="137"/>
      <c r="I73" s="137"/>
      <c r="J73" s="198"/>
      <c r="K73" s="137"/>
      <c r="L73" s="137"/>
      <c r="M73" s="97"/>
      <c r="N73" s="99"/>
      <c r="O73" s="42"/>
    </row>
    <row r="74" spans="1:15" ht="16" thickBot="1" x14ac:dyDescent="0.4">
      <c r="A74" s="290"/>
      <c r="B74" s="123" t="s">
        <v>195</v>
      </c>
      <c r="C74" s="124">
        <v>41.7</v>
      </c>
      <c r="D74" s="196">
        <v>41.6</v>
      </c>
      <c r="E74" s="124">
        <v>45.1</v>
      </c>
      <c r="F74" s="124">
        <v>45.4</v>
      </c>
      <c r="G74" s="124">
        <v>47.8</v>
      </c>
      <c r="H74" s="196">
        <v>49.5</v>
      </c>
      <c r="I74" s="196">
        <v>49.5</v>
      </c>
      <c r="J74" s="194">
        <v>44.2</v>
      </c>
      <c r="K74" s="124">
        <v>48.8</v>
      </c>
      <c r="L74" s="124">
        <v>53.8</v>
      </c>
      <c r="M74" s="124">
        <v>62.9</v>
      </c>
      <c r="N74" s="125">
        <v>67.900000000000006</v>
      </c>
      <c r="O74" s="42"/>
    </row>
    <row r="75" spans="1:15" ht="47" thickBot="1" x14ac:dyDescent="0.4">
      <c r="A75" s="134">
        <v>23</v>
      </c>
      <c r="B75" s="121" t="s">
        <v>70</v>
      </c>
      <c r="C75" s="127" t="s">
        <v>182</v>
      </c>
      <c r="D75" s="127" t="s">
        <v>182</v>
      </c>
      <c r="E75" s="127" t="s">
        <v>182</v>
      </c>
      <c r="F75" s="127" t="s">
        <v>182</v>
      </c>
      <c r="G75" s="127" t="s">
        <v>182</v>
      </c>
      <c r="H75" s="127" t="s">
        <v>182</v>
      </c>
      <c r="I75" s="127" t="s">
        <v>182</v>
      </c>
      <c r="J75" s="191" t="s">
        <v>182</v>
      </c>
      <c r="K75" s="127" t="s">
        <v>182</v>
      </c>
      <c r="L75" s="127" t="s">
        <v>182</v>
      </c>
      <c r="M75" s="127" t="s">
        <v>182</v>
      </c>
      <c r="N75" s="117" t="s">
        <v>182</v>
      </c>
      <c r="O75" s="42"/>
    </row>
    <row r="76" spans="1:15" ht="31.5" thickTop="1" x14ac:dyDescent="0.35">
      <c r="A76" s="289">
        <v>24</v>
      </c>
      <c r="B76" s="59" t="s">
        <v>71</v>
      </c>
      <c r="C76" s="137"/>
      <c r="D76" s="137"/>
      <c r="E76" s="137"/>
      <c r="F76" s="137"/>
      <c r="G76" s="137"/>
      <c r="H76" s="137"/>
      <c r="I76" s="137"/>
      <c r="J76" s="198"/>
      <c r="K76" s="137"/>
      <c r="L76" s="137"/>
      <c r="M76" s="137"/>
      <c r="N76" s="139"/>
      <c r="O76" s="42"/>
    </row>
    <row r="77" spans="1:15" ht="31.5" thickBot="1" x14ac:dyDescent="0.4">
      <c r="A77" s="288"/>
      <c r="B77" s="121" t="s">
        <v>72</v>
      </c>
      <c r="C77" s="127">
        <v>41.7</v>
      </c>
      <c r="D77" s="190">
        <v>41.6</v>
      </c>
      <c r="E77" s="127">
        <v>45.1</v>
      </c>
      <c r="F77" s="127">
        <v>45.4</v>
      </c>
      <c r="G77" s="127">
        <v>47.8</v>
      </c>
      <c r="H77" s="190">
        <v>49.5</v>
      </c>
      <c r="I77" s="190">
        <v>49.5</v>
      </c>
      <c r="J77" s="191">
        <v>44.2</v>
      </c>
      <c r="K77" s="127">
        <v>48.8</v>
      </c>
      <c r="L77" s="127">
        <v>53.8</v>
      </c>
      <c r="M77" s="127">
        <v>62.9</v>
      </c>
      <c r="N77" s="117">
        <v>67.900000000000006</v>
      </c>
      <c r="O77" s="42"/>
    </row>
    <row r="78" spans="1:15" ht="47" thickTop="1" x14ac:dyDescent="0.35">
      <c r="A78" s="289">
        <v>25</v>
      </c>
      <c r="B78" s="59" t="s">
        <v>73</v>
      </c>
      <c r="C78" s="137"/>
      <c r="D78" s="137"/>
      <c r="E78" s="137"/>
      <c r="F78" s="137"/>
      <c r="G78" s="137"/>
      <c r="H78" s="137"/>
      <c r="I78" s="137"/>
      <c r="J78" s="198"/>
      <c r="K78" s="137"/>
      <c r="L78" s="137"/>
      <c r="M78" s="97"/>
      <c r="N78" s="99"/>
      <c r="O78" s="42"/>
    </row>
    <row r="79" spans="1:15" ht="16" thickBot="1" x14ac:dyDescent="0.4">
      <c r="A79" s="288"/>
      <c r="B79" s="121" t="s">
        <v>74</v>
      </c>
      <c r="C79" s="127">
        <v>77.349999999999994</v>
      </c>
      <c r="D79" s="189">
        <v>77.099999999999994</v>
      </c>
      <c r="E79" s="127">
        <v>78.790000000000006</v>
      </c>
      <c r="F79" s="127">
        <v>79.959999999999994</v>
      </c>
      <c r="G79" s="127">
        <v>81.25</v>
      </c>
      <c r="H79" s="189">
        <v>80.25</v>
      </c>
      <c r="I79" s="190">
        <v>80.150000000000006</v>
      </c>
      <c r="J79" s="191">
        <v>78.78</v>
      </c>
      <c r="K79" s="127">
        <v>77.44</v>
      </c>
      <c r="L79" s="127">
        <v>77.48</v>
      </c>
      <c r="M79" s="127">
        <v>73.55</v>
      </c>
      <c r="N79" s="117">
        <v>73.55</v>
      </c>
      <c r="O79" s="42"/>
    </row>
    <row r="80" spans="1:15" ht="31.5" thickTop="1" x14ac:dyDescent="0.35">
      <c r="A80" s="289">
        <v>26</v>
      </c>
      <c r="B80" s="59" t="s">
        <v>75</v>
      </c>
      <c r="C80" s="137"/>
      <c r="D80" s="137"/>
      <c r="E80" s="137"/>
      <c r="F80" s="137"/>
      <c r="G80" s="137"/>
      <c r="H80" s="137"/>
      <c r="I80" s="137"/>
      <c r="J80" s="198"/>
      <c r="K80" s="137"/>
      <c r="L80" s="137"/>
      <c r="M80" s="97"/>
      <c r="N80" s="99"/>
      <c r="O80" s="42"/>
    </row>
    <row r="81" spans="1:15" ht="16" thickBot="1" x14ac:dyDescent="0.4">
      <c r="A81" s="288"/>
      <c r="B81" s="121" t="s">
        <v>76</v>
      </c>
      <c r="C81" s="127">
        <v>82.14</v>
      </c>
      <c r="D81" s="189">
        <v>81.94</v>
      </c>
      <c r="E81" s="127">
        <v>80.63</v>
      </c>
      <c r="F81" s="127">
        <v>81.569999999999993</v>
      </c>
      <c r="G81" s="127">
        <v>80.94</v>
      </c>
      <c r="H81" s="189">
        <v>78.92</v>
      </c>
      <c r="I81" s="190">
        <v>78.59</v>
      </c>
      <c r="J81" s="191">
        <v>82.91</v>
      </c>
      <c r="K81" s="127">
        <v>76.790000000000006</v>
      </c>
      <c r="L81" s="127">
        <v>73.540000000000006</v>
      </c>
      <c r="M81" s="127">
        <v>65.459999999999994</v>
      </c>
      <c r="N81" s="117">
        <v>64.650000000000006</v>
      </c>
      <c r="O81" s="42"/>
    </row>
    <row r="82" spans="1:15" ht="32" thickTop="1" thickBot="1" x14ac:dyDescent="0.4">
      <c r="A82" s="135">
        <v>27</v>
      </c>
      <c r="B82" s="123" t="s">
        <v>77</v>
      </c>
      <c r="C82" s="124">
        <v>11.98</v>
      </c>
      <c r="D82" s="192">
        <v>12</v>
      </c>
      <c r="E82" s="124">
        <v>9.7200000000000006</v>
      </c>
      <c r="F82" s="124">
        <v>9.61</v>
      </c>
      <c r="G82" s="124">
        <v>8.07</v>
      </c>
      <c r="H82" s="196">
        <v>6.88</v>
      </c>
      <c r="I82" s="196">
        <v>6.86</v>
      </c>
      <c r="J82" s="194">
        <v>10.75</v>
      </c>
      <c r="K82" s="124">
        <v>7.25</v>
      </c>
      <c r="L82" s="124">
        <v>3.97</v>
      </c>
      <c r="M82" s="124">
        <v>0</v>
      </c>
      <c r="N82" s="125">
        <v>0</v>
      </c>
      <c r="O82" s="42"/>
    </row>
    <row r="83" spans="1:15" ht="31.5" thickBot="1" x14ac:dyDescent="0.4">
      <c r="A83" s="134">
        <v>28</v>
      </c>
      <c r="B83" s="121" t="s">
        <v>78</v>
      </c>
      <c r="C83" s="127">
        <v>7.19</v>
      </c>
      <c r="D83" s="190">
        <v>7.17</v>
      </c>
      <c r="E83" s="127">
        <v>7.88</v>
      </c>
      <c r="F83" s="127">
        <v>8</v>
      </c>
      <c r="G83" s="127">
        <v>8.3699999999999992</v>
      </c>
      <c r="H83" s="190">
        <v>8.19</v>
      </c>
      <c r="I83" s="190">
        <v>8.42</v>
      </c>
      <c r="J83" s="191">
        <v>6.62</v>
      </c>
      <c r="K83" s="127">
        <v>7.9</v>
      </c>
      <c r="L83" s="127">
        <v>7.9</v>
      </c>
      <c r="M83" s="127">
        <v>8.09</v>
      </c>
      <c r="N83" s="117">
        <v>8.9</v>
      </c>
      <c r="O83" s="42"/>
    </row>
    <row r="84" spans="1:15" ht="47" thickTop="1" x14ac:dyDescent="0.35">
      <c r="A84" s="289">
        <v>29</v>
      </c>
      <c r="B84" s="59" t="s">
        <v>79</v>
      </c>
      <c r="C84" s="137"/>
      <c r="D84" s="137"/>
      <c r="E84" s="137"/>
      <c r="F84" s="137"/>
      <c r="G84" s="137"/>
      <c r="H84" s="137"/>
      <c r="I84" s="137"/>
      <c r="J84" s="198"/>
      <c r="K84" s="137"/>
      <c r="L84" s="137"/>
      <c r="M84" s="97"/>
      <c r="N84" s="99"/>
      <c r="O84" s="42"/>
    </row>
    <row r="85" spans="1:15" ht="16" thickBot="1" x14ac:dyDescent="0.4">
      <c r="A85" s="288"/>
      <c r="B85" s="121" t="s">
        <v>80</v>
      </c>
      <c r="C85" s="127">
        <v>60</v>
      </c>
      <c r="D85" s="197">
        <v>60</v>
      </c>
      <c r="E85" s="127">
        <v>60</v>
      </c>
      <c r="F85" s="127">
        <v>60</v>
      </c>
      <c r="G85" s="127">
        <v>60</v>
      </c>
      <c r="H85" s="197">
        <v>60</v>
      </c>
      <c r="I85" s="197">
        <v>60</v>
      </c>
      <c r="J85" s="191">
        <v>60</v>
      </c>
      <c r="K85" s="127">
        <v>60</v>
      </c>
      <c r="L85" s="127">
        <v>60</v>
      </c>
      <c r="M85" s="127">
        <v>62.8</v>
      </c>
      <c r="N85" s="117">
        <v>67.8</v>
      </c>
      <c r="O85" s="42"/>
    </row>
    <row r="86" spans="1:15" ht="31.5" thickTop="1" x14ac:dyDescent="0.35">
      <c r="A86" s="289">
        <v>30</v>
      </c>
      <c r="B86" s="59" t="s">
        <v>71</v>
      </c>
      <c r="C86" s="137"/>
      <c r="D86" s="137"/>
      <c r="E86" s="137"/>
      <c r="F86" s="137"/>
      <c r="G86" s="137"/>
      <c r="H86" s="137"/>
      <c r="I86" s="137"/>
      <c r="J86" s="198"/>
      <c r="K86" s="137"/>
      <c r="L86" s="137"/>
      <c r="M86" s="97"/>
      <c r="N86" s="99"/>
      <c r="O86" s="42"/>
    </row>
    <row r="87" spans="1:15" ht="16" thickBot="1" x14ac:dyDescent="0.4">
      <c r="A87" s="288"/>
      <c r="B87" s="121" t="s">
        <v>196</v>
      </c>
      <c r="C87" s="127">
        <v>165.8</v>
      </c>
      <c r="D87" s="189">
        <v>165.6</v>
      </c>
      <c r="E87" s="127">
        <v>167.2</v>
      </c>
      <c r="F87" s="127">
        <v>167.6</v>
      </c>
      <c r="G87" s="127">
        <v>168.7</v>
      </c>
      <c r="H87" s="189">
        <v>168.2</v>
      </c>
      <c r="I87" s="190">
        <v>168.3</v>
      </c>
      <c r="J87" s="191">
        <v>164.6</v>
      </c>
      <c r="K87" s="127">
        <v>165.7</v>
      </c>
      <c r="L87" s="127">
        <v>167</v>
      </c>
      <c r="M87" s="127">
        <v>165.1</v>
      </c>
      <c r="N87" s="117">
        <v>165.7</v>
      </c>
      <c r="O87" s="42"/>
    </row>
    <row r="88" spans="1:15" ht="32" thickTop="1" thickBot="1" x14ac:dyDescent="0.4">
      <c r="A88" s="135">
        <v>31</v>
      </c>
      <c r="B88" s="123" t="s">
        <v>82</v>
      </c>
      <c r="C88" s="124">
        <v>166.4</v>
      </c>
      <c r="D88" s="192">
        <v>166.4</v>
      </c>
      <c r="E88" s="124">
        <v>166.4</v>
      </c>
      <c r="F88" s="124">
        <v>166.5</v>
      </c>
      <c r="G88" s="124">
        <v>166.5</v>
      </c>
      <c r="H88" s="192">
        <v>166.5</v>
      </c>
      <c r="I88" s="196">
        <v>166.5</v>
      </c>
      <c r="J88" s="194">
        <v>166.5</v>
      </c>
      <c r="K88" s="124">
        <v>166.5</v>
      </c>
      <c r="L88" s="124">
        <v>166.5</v>
      </c>
      <c r="M88" s="124">
        <v>166.4</v>
      </c>
      <c r="N88" s="125">
        <v>166.4</v>
      </c>
      <c r="O88" s="42"/>
    </row>
    <row r="89" spans="1:15" ht="31.5" thickBot="1" x14ac:dyDescent="0.4">
      <c r="A89" s="134">
        <v>32</v>
      </c>
      <c r="B89" s="121" t="s">
        <v>83</v>
      </c>
      <c r="C89" s="127">
        <v>296.8</v>
      </c>
      <c r="D89" s="189">
        <v>297.8</v>
      </c>
      <c r="E89" s="127">
        <v>298.7</v>
      </c>
      <c r="F89" s="127">
        <v>299.5</v>
      </c>
      <c r="G89" s="127">
        <v>300.39999999999998</v>
      </c>
      <c r="H89" s="189">
        <v>299.7</v>
      </c>
      <c r="I89" s="190">
        <v>299.7</v>
      </c>
      <c r="J89" s="191">
        <v>298.8</v>
      </c>
      <c r="K89" s="127">
        <v>297.7</v>
      </c>
      <c r="L89" s="127">
        <v>297.7</v>
      </c>
      <c r="M89" s="127">
        <v>294.2</v>
      </c>
      <c r="N89" s="117">
        <v>294.2</v>
      </c>
      <c r="O89" s="42"/>
    </row>
    <row r="90" spans="1:15" ht="32" thickTop="1" thickBot="1" x14ac:dyDescent="0.4">
      <c r="A90" s="135">
        <v>33</v>
      </c>
      <c r="B90" s="123" t="s">
        <v>84</v>
      </c>
      <c r="C90" s="124">
        <v>8.3412000000000006</v>
      </c>
      <c r="D90" s="192">
        <v>8.3248999999999995</v>
      </c>
      <c r="E90" s="124">
        <v>8.5440000000000005</v>
      </c>
      <c r="F90" s="124">
        <v>8.7029999999999994</v>
      </c>
      <c r="G90" s="124">
        <v>8.8796999999999997</v>
      </c>
      <c r="H90" s="192">
        <v>8.8004999999999995</v>
      </c>
      <c r="I90" s="193">
        <v>8.8033999999999999</v>
      </c>
      <c r="J90" s="194">
        <v>8.7460000000000004</v>
      </c>
      <c r="K90" s="124">
        <v>8.6006</v>
      </c>
      <c r="L90" s="124">
        <v>8.6006</v>
      </c>
      <c r="M90" s="124">
        <v>8.3460999999999999</v>
      </c>
      <c r="N90" s="125">
        <v>8.3460999999999999</v>
      </c>
      <c r="O90" s="42"/>
    </row>
    <row r="91" spans="1:15" ht="31.5" thickBot="1" x14ac:dyDescent="0.4">
      <c r="A91" s="134">
        <v>34</v>
      </c>
      <c r="B91" s="121" t="s">
        <v>85</v>
      </c>
      <c r="C91" s="127">
        <v>0.6925</v>
      </c>
      <c r="D91" s="189">
        <v>0.69</v>
      </c>
      <c r="E91" s="127">
        <v>0.70299999999999996</v>
      </c>
      <c r="F91" s="127">
        <v>0.71189999999999998</v>
      </c>
      <c r="G91" s="127">
        <v>0.7218</v>
      </c>
      <c r="H91" s="189">
        <v>0.71220000000000006</v>
      </c>
      <c r="I91" s="195">
        <v>0.71060000000000001</v>
      </c>
      <c r="J91" s="191">
        <v>0.69640000000000002</v>
      </c>
      <c r="K91" s="127">
        <v>0.68500000000000005</v>
      </c>
      <c r="L91" s="127">
        <v>0.68569999999999998</v>
      </c>
      <c r="M91" s="127">
        <v>0.64759999999999995</v>
      </c>
      <c r="N91" s="117">
        <v>0.64780000000000004</v>
      </c>
      <c r="O91" s="42"/>
    </row>
    <row r="92" spans="1:15" ht="16" thickTop="1" thickBot="1" x14ac:dyDescent="0.4">
      <c r="A92" s="302" t="s">
        <v>86</v>
      </c>
      <c r="B92" s="303"/>
      <c r="C92" s="303"/>
      <c r="D92" s="303"/>
      <c r="E92" s="303"/>
      <c r="F92" s="303"/>
      <c r="G92" s="303"/>
      <c r="H92" s="303"/>
      <c r="I92" s="303"/>
      <c r="J92" s="303"/>
      <c r="K92" s="303"/>
      <c r="L92" s="303"/>
      <c r="M92" s="303"/>
      <c r="N92" s="304"/>
      <c r="O92" s="42"/>
    </row>
    <row r="93" spans="1:15" ht="16.5" thickTop="1" thickBot="1" x14ac:dyDescent="0.4">
      <c r="A93" s="134">
        <v>35</v>
      </c>
      <c r="B93" s="121" t="s">
        <v>87</v>
      </c>
      <c r="C93" s="127">
        <v>170</v>
      </c>
      <c r="D93" s="189">
        <v>170</v>
      </c>
      <c r="E93" s="195">
        <v>170</v>
      </c>
      <c r="F93" s="127">
        <v>170</v>
      </c>
      <c r="G93" s="127">
        <v>169.4</v>
      </c>
      <c r="H93" s="189">
        <v>163.5</v>
      </c>
      <c r="I93" s="195">
        <v>163</v>
      </c>
      <c r="J93" s="191">
        <v>150.6</v>
      </c>
      <c r="K93" s="127">
        <v>148.19999999999999</v>
      </c>
      <c r="L93" s="195">
        <v>148.19999999999999</v>
      </c>
      <c r="M93" s="127">
        <v>128.6</v>
      </c>
      <c r="N93" s="117">
        <v>128.6</v>
      </c>
      <c r="O93" s="42"/>
    </row>
    <row r="94" spans="1:15" ht="16.5" thickTop="1" thickBot="1" x14ac:dyDescent="0.4">
      <c r="A94" s="135">
        <v>36</v>
      </c>
      <c r="B94" s="123" t="s">
        <v>88</v>
      </c>
      <c r="C94" s="124">
        <v>72.680000000000007</v>
      </c>
      <c r="D94" s="192">
        <v>72.55</v>
      </c>
      <c r="E94" s="196">
        <v>73.34</v>
      </c>
      <c r="F94" s="124">
        <v>74.59</v>
      </c>
      <c r="G94" s="124">
        <v>74.239999999999995</v>
      </c>
      <c r="H94" s="192">
        <v>73.98</v>
      </c>
      <c r="I94" s="196">
        <v>73.91</v>
      </c>
      <c r="J94" s="194">
        <v>75.27</v>
      </c>
      <c r="K94" s="124">
        <v>72.430000000000007</v>
      </c>
      <c r="L94" s="196">
        <v>70.75</v>
      </c>
      <c r="M94" s="124">
        <v>65.77</v>
      </c>
      <c r="N94" s="125">
        <v>64.14</v>
      </c>
      <c r="O94" s="42"/>
    </row>
    <row r="95" spans="1:15" ht="31.5" thickBot="1" x14ac:dyDescent="0.4">
      <c r="A95" s="134">
        <v>37</v>
      </c>
      <c r="B95" s="121" t="s">
        <v>89</v>
      </c>
      <c r="C95" s="127">
        <v>242.68</v>
      </c>
      <c r="D95" s="189">
        <v>242.55</v>
      </c>
      <c r="E95" s="195">
        <v>243.34</v>
      </c>
      <c r="F95" s="127">
        <v>244.59</v>
      </c>
      <c r="G95" s="127">
        <v>243.64</v>
      </c>
      <c r="H95" s="189">
        <v>237.48</v>
      </c>
      <c r="I95" s="195">
        <v>236.91</v>
      </c>
      <c r="J95" s="191">
        <v>225.87</v>
      </c>
      <c r="K95" s="127">
        <v>220.63</v>
      </c>
      <c r="L95" s="195">
        <v>218.95</v>
      </c>
      <c r="M95" s="127">
        <v>194.37</v>
      </c>
      <c r="N95" s="117">
        <v>192.74</v>
      </c>
      <c r="O95" s="42"/>
    </row>
    <row r="96" spans="1:15" ht="32" thickTop="1" thickBot="1" x14ac:dyDescent="0.4">
      <c r="A96" s="295">
        <v>38</v>
      </c>
      <c r="B96" s="123" t="s">
        <v>140</v>
      </c>
      <c r="C96" s="124" t="s">
        <v>182</v>
      </c>
      <c r="D96" s="124" t="s">
        <v>182</v>
      </c>
      <c r="E96" s="124" t="s">
        <v>182</v>
      </c>
      <c r="F96" s="124" t="s">
        <v>182</v>
      </c>
      <c r="G96" s="124" t="s">
        <v>182</v>
      </c>
      <c r="H96" s="124" t="s">
        <v>182</v>
      </c>
      <c r="I96" s="124" t="s">
        <v>182</v>
      </c>
      <c r="J96" s="194" t="s">
        <v>182</v>
      </c>
      <c r="K96" s="124" t="s">
        <v>182</v>
      </c>
      <c r="L96" s="124" t="s">
        <v>182</v>
      </c>
      <c r="M96" s="124" t="s">
        <v>182</v>
      </c>
      <c r="N96" s="125" t="s">
        <v>182</v>
      </c>
      <c r="O96" s="42"/>
    </row>
    <row r="97" spans="1:15" ht="16" thickBot="1" x14ac:dyDescent="0.4">
      <c r="A97" s="294"/>
      <c r="B97" s="128" t="s">
        <v>91</v>
      </c>
      <c r="C97" s="127" t="s">
        <v>182</v>
      </c>
      <c r="D97" s="127" t="s">
        <v>182</v>
      </c>
      <c r="E97" s="127" t="s">
        <v>182</v>
      </c>
      <c r="F97" s="127" t="s">
        <v>182</v>
      </c>
      <c r="G97" s="127" t="s">
        <v>182</v>
      </c>
      <c r="H97" s="127" t="s">
        <v>182</v>
      </c>
      <c r="I97" s="127" t="s">
        <v>182</v>
      </c>
      <c r="J97" s="191" t="s">
        <v>182</v>
      </c>
      <c r="K97" s="127" t="s">
        <v>182</v>
      </c>
      <c r="L97" s="127" t="s">
        <v>182</v>
      </c>
      <c r="M97" s="127" t="s">
        <v>182</v>
      </c>
      <c r="N97" s="117" t="s">
        <v>182</v>
      </c>
      <c r="O97" s="42"/>
    </row>
    <row r="98" spans="1:15" ht="32" thickTop="1" thickBot="1" x14ac:dyDescent="0.4">
      <c r="A98" s="295">
        <v>39</v>
      </c>
      <c r="B98" s="123" t="s">
        <v>141</v>
      </c>
      <c r="C98" s="124" t="s">
        <v>182</v>
      </c>
      <c r="D98" s="124" t="s">
        <v>182</v>
      </c>
      <c r="E98" s="124" t="s">
        <v>182</v>
      </c>
      <c r="F98" s="124" t="s">
        <v>182</v>
      </c>
      <c r="G98" s="124" t="s">
        <v>182</v>
      </c>
      <c r="H98" s="124" t="s">
        <v>182</v>
      </c>
      <c r="I98" s="124" t="s">
        <v>182</v>
      </c>
      <c r="J98" s="194" t="s">
        <v>182</v>
      </c>
      <c r="K98" s="124" t="s">
        <v>182</v>
      </c>
      <c r="L98" s="124" t="s">
        <v>182</v>
      </c>
      <c r="M98" s="124" t="s">
        <v>182</v>
      </c>
      <c r="N98" s="125" t="s">
        <v>182</v>
      </c>
      <c r="O98" s="42"/>
    </row>
    <row r="99" spans="1:15" ht="16" thickBot="1" x14ac:dyDescent="0.4">
      <c r="A99" s="294"/>
      <c r="B99" s="128" t="s">
        <v>91</v>
      </c>
      <c r="C99" s="127" t="s">
        <v>182</v>
      </c>
      <c r="D99" s="127" t="s">
        <v>182</v>
      </c>
      <c r="E99" s="127" t="s">
        <v>182</v>
      </c>
      <c r="F99" s="127" t="s">
        <v>182</v>
      </c>
      <c r="G99" s="127" t="s">
        <v>182</v>
      </c>
      <c r="H99" s="127" t="s">
        <v>182</v>
      </c>
      <c r="I99" s="127" t="s">
        <v>182</v>
      </c>
      <c r="J99" s="191" t="s">
        <v>182</v>
      </c>
      <c r="K99" s="127" t="s">
        <v>182</v>
      </c>
      <c r="L99" s="127" t="s">
        <v>182</v>
      </c>
      <c r="M99" s="127" t="s">
        <v>182</v>
      </c>
      <c r="N99" s="117" t="s">
        <v>182</v>
      </c>
      <c r="O99" s="42"/>
    </row>
    <row r="100" spans="1:15" ht="32" thickTop="1" thickBot="1" x14ac:dyDescent="0.4">
      <c r="A100" s="295">
        <v>40</v>
      </c>
      <c r="B100" s="123" t="s">
        <v>142</v>
      </c>
      <c r="C100" s="124" t="s">
        <v>182</v>
      </c>
      <c r="D100" s="124" t="s">
        <v>182</v>
      </c>
      <c r="E100" s="124" t="s">
        <v>182</v>
      </c>
      <c r="F100" s="124" t="s">
        <v>182</v>
      </c>
      <c r="G100" s="124" t="s">
        <v>182</v>
      </c>
      <c r="H100" s="124" t="s">
        <v>182</v>
      </c>
      <c r="I100" s="124" t="s">
        <v>182</v>
      </c>
      <c r="J100" s="194" t="s">
        <v>182</v>
      </c>
      <c r="K100" s="124" t="s">
        <v>182</v>
      </c>
      <c r="L100" s="124" t="s">
        <v>182</v>
      </c>
      <c r="M100" s="124" t="s">
        <v>182</v>
      </c>
      <c r="N100" s="125" t="s">
        <v>182</v>
      </c>
      <c r="O100" s="42"/>
    </row>
    <row r="101" spans="1:15" ht="16" thickBot="1" x14ac:dyDescent="0.4">
      <c r="A101" s="294"/>
      <c r="B101" s="128" t="s">
        <v>91</v>
      </c>
      <c r="C101" s="127" t="s">
        <v>182</v>
      </c>
      <c r="D101" s="127" t="s">
        <v>182</v>
      </c>
      <c r="E101" s="127" t="s">
        <v>182</v>
      </c>
      <c r="F101" s="127" t="s">
        <v>182</v>
      </c>
      <c r="G101" s="127" t="s">
        <v>182</v>
      </c>
      <c r="H101" s="127" t="s">
        <v>182</v>
      </c>
      <c r="I101" s="127" t="s">
        <v>182</v>
      </c>
      <c r="J101" s="191" t="s">
        <v>182</v>
      </c>
      <c r="K101" s="127" t="s">
        <v>182</v>
      </c>
      <c r="L101" s="127" t="s">
        <v>182</v>
      </c>
      <c r="M101" s="127" t="s">
        <v>182</v>
      </c>
      <c r="N101" s="117" t="s">
        <v>182</v>
      </c>
      <c r="O101" s="42"/>
    </row>
    <row r="102" spans="1:15" ht="32" thickTop="1" thickBot="1" x14ac:dyDescent="0.4">
      <c r="A102" s="295">
        <v>41</v>
      </c>
      <c r="B102" s="123" t="s">
        <v>143</v>
      </c>
      <c r="C102" s="124" t="s">
        <v>182</v>
      </c>
      <c r="D102" s="124" t="s">
        <v>182</v>
      </c>
      <c r="E102" s="124" t="s">
        <v>182</v>
      </c>
      <c r="F102" s="124" t="s">
        <v>182</v>
      </c>
      <c r="G102" s="124" t="s">
        <v>182</v>
      </c>
      <c r="H102" s="124" t="s">
        <v>182</v>
      </c>
      <c r="I102" s="124" t="s">
        <v>182</v>
      </c>
      <c r="J102" s="194" t="s">
        <v>182</v>
      </c>
      <c r="K102" s="124" t="s">
        <v>182</v>
      </c>
      <c r="L102" s="124" t="s">
        <v>182</v>
      </c>
      <c r="M102" s="124" t="s">
        <v>182</v>
      </c>
      <c r="N102" s="125" t="s">
        <v>182</v>
      </c>
      <c r="O102" s="42"/>
    </row>
    <row r="103" spans="1:15" ht="16" thickBot="1" x14ac:dyDescent="0.4">
      <c r="A103" s="294"/>
      <c r="B103" s="128" t="s">
        <v>91</v>
      </c>
      <c r="C103" s="127" t="s">
        <v>182</v>
      </c>
      <c r="D103" s="127" t="s">
        <v>182</v>
      </c>
      <c r="E103" s="127" t="s">
        <v>182</v>
      </c>
      <c r="F103" s="127" t="s">
        <v>182</v>
      </c>
      <c r="G103" s="127" t="s">
        <v>182</v>
      </c>
      <c r="H103" s="127" t="s">
        <v>182</v>
      </c>
      <c r="I103" s="127" t="s">
        <v>182</v>
      </c>
      <c r="J103" s="191" t="s">
        <v>182</v>
      </c>
      <c r="K103" s="127" t="s">
        <v>182</v>
      </c>
      <c r="L103" s="127" t="s">
        <v>182</v>
      </c>
      <c r="M103" s="127" t="s">
        <v>182</v>
      </c>
      <c r="N103" s="117" t="s">
        <v>182</v>
      </c>
      <c r="O103" s="42"/>
    </row>
    <row r="104" spans="1:15" ht="32" thickTop="1" thickBot="1" x14ac:dyDescent="0.4">
      <c r="A104" s="295">
        <v>42</v>
      </c>
      <c r="B104" s="126" t="s">
        <v>92</v>
      </c>
      <c r="C104" s="124" t="s">
        <v>182</v>
      </c>
      <c r="D104" s="124" t="s">
        <v>182</v>
      </c>
      <c r="E104" s="124" t="s">
        <v>182</v>
      </c>
      <c r="F104" s="124" t="s">
        <v>182</v>
      </c>
      <c r="G104" s="124" t="s">
        <v>182</v>
      </c>
      <c r="H104" s="124" t="s">
        <v>182</v>
      </c>
      <c r="I104" s="124" t="s">
        <v>182</v>
      </c>
      <c r="J104" s="194" t="s">
        <v>182</v>
      </c>
      <c r="K104" s="124" t="s">
        <v>182</v>
      </c>
      <c r="L104" s="124" t="s">
        <v>182</v>
      </c>
      <c r="M104" s="124" t="s">
        <v>182</v>
      </c>
      <c r="N104" s="125" t="s">
        <v>182</v>
      </c>
      <c r="O104" s="42"/>
    </row>
    <row r="105" spans="1:15" ht="16" thickBot="1" x14ac:dyDescent="0.4">
      <c r="A105" s="294"/>
      <c r="B105" s="128" t="s">
        <v>90</v>
      </c>
      <c r="C105" s="127" t="s">
        <v>182</v>
      </c>
      <c r="D105" s="127" t="s">
        <v>182</v>
      </c>
      <c r="E105" s="127" t="s">
        <v>182</v>
      </c>
      <c r="F105" s="127" t="s">
        <v>182</v>
      </c>
      <c r="G105" s="127" t="s">
        <v>182</v>
      </c>
      <c r="H105" s="127" t="s">
        <v>182</v>
      </c>
      <c r="I105" s="127" t="s">
        <v>182</v>
      </c>
      <c r="J105" s="191" t="s">
        <v>182</v>
      </c>
      <c r="K105" s="127" t="s">
        <v>182</v>
      </c>
      <c r="L105" s="127" t="s">
        <v>182</v>
      </c>
      <c r="M105" s="127" t="s">
        <v>182</v>
      </c>
      <c r="N105" s="117" t="s">
        <v>182</v>
      </c>
      <c r="O105" s="42"/>
    </row>
    <row r="106" spans="1:15" ht="17" thickTop="1" x14ac:dyDescent="0.35">
      <c r="A106" s="161"/>
      <c r="B106" s="99"/>
      <c r="C106" s="137"/>
      <c r="D106" s="137"/>
      <c r="E106" s="137"/>
      <c r="F106" s="137"/>
      <c r="G106" s="137"/>
      <c r="H106" s="137"/>
      <c r="I106" s="137"/>
      <c r="J106" s="98"/>
      <c r="K106" s="137"/>
      <c r="L106" s="137"/>
      <c r="M106" s="137"/>
      <c r="N106" s="139"/>
      <c r="O106" s="42"/>
    </row>
    <row r="107" spans="1:15" ht="31.5" thickBot="1" x14ac:dyDescent="0.4">
      <c r="A107" s="134">
        <v>43</v>
      </c>
      <c r="B107" s="121" t="s">
        <v>93</v>
      </c>
      <c r="C107" s="127">
        <v>60.95</v>
      </c>
      <c r="D107" s="189">
        <v>60.47</v>
      </c>
      <c r="E107" s="190">
        <v>60.53</v>
      </c>
      <c r="F107" s="127">
        <v>60.53</v>
      </c>
      <c r="G107" s="127">
        <v>60.53</v>
      </c>
      <c r="H107" s="189">
        <v>58.78</v>
      </c>
      <c r="I107" s="190">
        <v>58.66</v>
      </c>
      <c r="J107" s="191">
        <v>55.46</v>
      </c>
      <c r="K107" s="127">
        <v>54.44</v>
      </c>
      <c r="L107" s="190">
        <v>54.44</v>
      </c>
      <c r="M107" s="127">
        <v>49.14</v>
      </c>
      <c r="N107" s="117">
        <v>49.14</v>
      </c>
      <c r="O107" s="42"/>
    </row>
    <row r="108" spans="1:15" ht="31.5" thickTop="1" x14ac:dyDescent="0.35">
      <c r="A108" s="289">
        <v>44</v>
      </c>
      <c r="B108" s="59" t="s">
        <v>94</v>
      </c>
      <c r="C108" s="137"/>
      <c r="D108" s="137"/>
      <c r="E108" s="137"/>
      <c r="F108" s="137"/>
      <c r="G108" s="137"/>
      <c r="H108" s="137"/>
      <c r="I108" s="137"/>
      <c r="J108" s="198"/>
      <c r="K108" s="137"/>
      <c r="L108" s="137"/>
      <c r="M108" s="137"/>
      <c r="N108" s="139"/>
      <c r="O108" s="42"/>
    </row>
    <row r="109" spans="1:15" ht="31.5" thickBot="1" x14ac:dyDescent="0.4">
      <c r="A109" s="290"/>
      <c r="B109" s="123" t="s">
        <v>95</v>
      </c>
      <c r="C109" s="124" t="s">
        <v>182</v>
      </c>
      <c r="D109" s="124" t="s">
        <v>182</v>
      </c>
      <c r="E109" s="124" t="s">
        <v>182</v>
      </c>
      <c r="F109" s="124" t="s">
        <v>182</v>
      </c>
      <c r="G109" s="124" t="s">
        <v>182</v>
      </c>
      <c r="H109" s="124" t="s">
        <v>182</v>
      </c>
      <c r="I109" s="124" t="s">
        <v>182</v>
      </c>
      <c r="J109" s="194" t="s">
        <v>182</v>
      </c>
      <c r="K109" s="124" t="s">
        <v>182</v>
      </c>
      <c r="L109" s="124" t="s">
        <v>182</v>
      </c>
      <c r="M109" s="124" t="s">
        <v>182</v>
      </c>
      <c r="N109" s="125" t="s">
        <v>182</v>
      </c>
      <c r="O109" s="42"/>
    </row>
    <row r="110" spans="1:15" ht="31" x14ac:dyDescent="0.35">
      <c r="A110" s="287">
        <v>45</v>
      </c>
      <c r="B110" s="59" t="s">
        <v>96</v>
      </c>
      <c r="C110" s="137"/>
      <c r="D110" s="137"/>
      <c r="E110" s="137"/>
      <c r="F110" s="137"/>
      <c r="G110" s="137"/>
      <c r="H110" s="137"/>
      <c r="I110" s="137"/>
      <c r="J110" s="198"/>
      <c r="K110" s="137"/>
      <c r="L110" s="137"/>
      <c r="M110" s="137"/>
      <c r="N110" s="139"/>
      <c r="O110" s="42"/>
    </row>
    <row r="111" spans="1:15" ht="16" thickBot="1" x14ac:dyDescent="0.4">
      <c r="A111" s="290"/>
      <c r="B111" s="123" t="s">
        <v>97</v>
      </c>
      <c r="C111" s="124" t="s">
        <v>182</v>
      </c>
      <c r="D111" s="124" t="s">
        <v>182</v>
      </c>
      <c r="E111" s="124" t="s">
        <v>182</v>
      </c>
      <c r="F111" s="124" t="s">
        <v>182</v>
      </c>
      <c r="G111" s="124" t="s">
        <v>182</v>
      </c>
      <c r="H111" s="124" t="s">
        <v>182</v>
      </c>
      <c r="I111" s="124" t="s">
        <v>182</v>
      </c>
      <c r="J111" s="194" t="s">
        <v>182</v>
      </c>
      <c r="K111" s="124" t="s">
        <v>182</v>
      </c>
      <c r="L111" s="124" t="s">
        <v>182</v>
      </c>
      <c r="M111" s="124" t="s">
        <v>182</v>
      </c>
      <c r="N111" s="125" t="s">
        <v>182</v>
      </c>
      <c r="O111" s="42"/>
    </row>
    <row r="112" spans="1:15" ht="31" x14ac:dyDescent="0.35">
      <c r="A112" s="287">
        <v>46</v>
      </c>
      <c r="B112" s="59" t="s">
        <v>96</v>
      </c>
      <c r="C112" s="137"/>
      <c r="D112" s="137"/>
      <c r="E112" s="137"/>
      <c r="F112" s="137"/>
      <c r="G112" s="137"/>
      <c r="H112" s="137"/>
      <c r="I112" s="137"/>
      <c r="J112" s="198"/>
      <c r="K112" s="137"/>
      <c r="L112" s="137"/>
      <c r="M112" s="137"/>
      <c r="N112" s="139"/>
      <c r="O112" s="42"/>
    </row>
    <row r="113" spans="1:15" ht="16" thickBot="1" x14ac:dyDescent="0.4">
      <c r="A113" s="290"/>
      <c r="B113" s="123" t="s">
        <v>98</v>
      </c>
      <c r="C113" s="124">
        <v>60.95</v>
      </c>
      <c r="D113" s="192">
        <v>60.47</v>
      </c>
      <c r="E113" s="196">
        <v>60.53</v>
      </c>
      <c r="F113" s="124">
        <v>60.53</v>
      </c>
      <c r="G113" s="124">
        <v>60.53</v>
      </c>
      <c r="H113" s="192">
        <v>58.78</v>
      </c>
      <c r="I113" s="196">
        <v>58.66</v>
      </c>
      <c r="J113" s="194">
        <v>55.46</v>
      </c>
      <c r="K113" s="124">
        <v>54.44</v>
      </c>
      <c r="L113" s="196">
        <v>54.44</v>
      </c>
      <c r="M113" s="124">
        <v>49.14</v>
      </c>
      <c r="N113" s="125">
        <v>49.14</v>
      </c>
      <c r="O113" s="42"/>
    </row>
    <row r="114" spans="1:15" ht="31" x14ac:dyDescent="0.35">
      <c r="A114" s="287">
        <v>47</v>
      </c>
      <c r="B114" s="59" t="s">
        <v>94</v>
      </c>
      <c r="C114" s="137"/>
      <c r="D114" s="137"/>
      <c r="E114" s="137"/>
      <c r="F114" s="137"/>
      <c r="G114" s="137"/>
      <c r="H114" s="137"/>
      <c r="I114" s="137"/>
      <c r="J114" s="198"/>
      <c r="K114" s="137"/>
      <c r="L114" s="137"/>
      <c r="M114" s="137"/>
      <c r="N114" s="139"/>
      <c r="O114" s="42"/>
    </row>
    <row r="115" spans="1:15" ht="47" thickBot="1" x14ac:dyDescent="0.4">
      <c r="A115" s="290"/>
      <c r="B115" s="123" t="s">
        <v>99</v>
      </c>
      <c r="C115" s="124">
        <v>251.15</v>
      </c>
      <c r="D115" s="192">
        <v>249.31</v>
      </c>
      <c r="E115" s="193">
        <v>248.75</v>
      </c>
      <c r="F115" s="124">
        <v>247.48</v>
      </c>
      <c r="G115" s="124">
        <v>248.44</v>
      </c>
      <c r="H115" s="192">
        <v>247.52</v>
      </c>
      <c r="I115" s="193">
        <v>247.6</v>
      </c>
      <c r="J115" s="194">
        <v>245.53</v>
      </c>
      <c r="K115" s="124">
        <v>246.75</v>
      </c>
      <c r="L115" s="193">
        <v>248.64</v>
      </c>
      <c r="M115" s="124">
        <v>252.82</v>
      </c>
      <c r="N115" s="125">
        <v>254.96</v>
      </c>
      <c r="O115" s="42"/>
    </row>
    <row r="116" spans="1:15" ht="31.5" thickBot="1" x14ac:dyDescent="0.4">
      <c r="A116" s="134">
        <v>48</v>
      </c>
      <c r="B116" s="121" t="s">
        <v>149</v>
      </c>
      <c r="C116" s="127">
        <v>48.92</v>
      </c>
      <c r="D116" s="189">
        <v>49.28</v>
      </c>
      <c r="E116" s="190">
        <v>49.39</v>
      </c>
      <c r="F116" s="127">
        <v>49.64</v>
      </c>
      <c r="G116" s="127">
        <v>49.45</v>
      </c>
      <c r="H116" s="189">
        <v>49.64</v>
      </c>
      <c r="I116" s="190">
        <v>49.62</v>
      </c>
      <c r="J116" s="191">
        <v>50.04</v>
      </c>
      <c r="K116" s="127">
        <v>49.79</v>
      </c>
      <c r="L116" s="190">
        <v>49.41</v>
      </c>
      <c r="M116" s="127">
        <v>48.6</v>
      </c>
      <c r="N116" s="117">
        <v>48.19</v>
      </c>
      <c r="O116" s="42"/>
    </row>
    <row r="117" spans="1:15" ht="32" thickTop="1" thickBot="1" x14ac:dyDescent="0.4">
      <c r="A117" s="134">
        <v>49</v>
      </c>
      <c r="B117" s="121" t="s">
        <v>101</v>
      </c>
      <c r="C117" s="127">
        <v>1</v>
      </c>
      <c r="D117" s="190">
        <v>1</v>
      </c>
      <c r="E117" s="190">
        <v>1</v>
      </c>
      <c r="F117" s="127">
        <v>1</v>
      </c>
      <c r="G117" s="127">
        <v>1</v>
      </c>
      <c r="H117" s="190">
        <v>1</v>
      </c>
      <c r="I117" s="190">
        <v>1</v>
      </c>
      <c r="J117" s="191">
        <v>1</v>
      </c>
      <c r="K117" s="127">
        <v>1</v>
      </c>
      <c r="L117" s="190">
        <v>1</v>
      </c>
      <c r="M117" s="127">
        <v>1</v>
      </c>
      <c r="N117" s="117">
        <v>1</v>
      </c>
      <c r="O117" s="42"/>
    </row>
    <row r="118" spans="1:15" ht="15.5" thickTop="1" x14ac:dyDescent="0.35">
      <c r="A118" s="199"/>
      <c r="B118" s="42"/>
      <c r="C118" s="42"/>
      <c r="D118" s="42"/>
      <c r="E118" s="42"/>
      <c r="F118" s="42"/>
      <c r="G118" s="42"/>
      <c r="H118" s="42"/>
      <c r="I118" s="42"/>
      <c r="J118" s="43"/>
      <c r="K118" s="42"/>
      <c r="L118" s="42"/>
      <c r="M118" s="42"/>
      <c r="N118" s="42"/>
      <c r="O118" s="42"/>
    </row>
    <row r="119" spans="1:15" ht="15.5" x14ac:dyDescent="0.35">
      <c r="A119" s="200">
        <v>40</v>
      </c>
      <c r="B119" s="42"/>
      <c r="C119" s="42"/>
      <c r="D119" s="42"/>
      <c r="E119" s="42"/>
      <c r="F119" s="42"/>
      <c r="G119" s="42"/>
      <c r="H119" s="42"/>
      <c r="I119" s="42"/>
      <c r="J119" s="43"/>
      <c r="K119" s="42"/>
      <c r="L119" s="42"/>
      <c r="M119" s="42"/>
      <c r="N119" s="42"/>
      <c r="O119" s="42"/>
    </row>
    <row r="120" spans="1:15" x14ac:dyDescent="0.35">
      <c r="A120" s="42"/>
      <c r="B120" s="42"/>
      <c r="C120" s="42"/>
      <c r="D120" s="42"/>
      <c r="E120" s="42"/>
      <c r="F120" s="42"/>
      <c r="G120" s="42"/>
      <c r="H120" s="42"/>
      <c r="I120" s="42"/>
      <c r="J120" s="43"/>
      <c r="K120" s="42"/>
      <c r="L120" s="42"/>
      <c r="M120" s="42"/>
      <c r="N120" s="42"/>
      <c r="O120" s="42"/>
    </row>
    <row r="121" spans="1:15" ht="15" x14ac:dyDescent="0.35">
      <c r="A121" s="201" t="s">
        <v>197</v>
      </c>
      <c r="B121" s="42"/>
      <c r="C121" s="42"/>
      <c r="D121" s="42"/>
      <c r="E121" s="42"/>
      <c r="F121" s="42"/>
      <c r="G121" s="42"/>
      <c r="H121" s="42"/>
      <c r="I121" s="42"/>
      <c r="J121" s="43"/>
      <c r="K121" s="42"/>
      <c r="L121" s="42"/>
      <c r="M121" s="42"/>
      <c r="N121" s="42"/>
      <c r="O121" s="42"/>
    </row>
    <row r="122" spans="1:15" ht="15" x14ac:dyDescent="0.35">
      <c r="A122" s="201" t="s">
        <v>198</v>
      </c>
      <c r="B122" s="42"/>
      <c r="C122" s="42"/>
      <c r="D122" s="42"/>
      <c r="E122" s="42"/>
      <c r="F122" s="42"/>
      <c r="G122" s="42"/>
      <c r="H122" s="42"/>
      <c r="I122" s="42"/>
      <c r="J122" s="43"/>
      <c r="K122" s="42"/>
      <c r="L122" s="42"/>
      <c r="M122" s="42"/>
      <c r="N122" s="42"/>
      <c r="O122" s="42"/>
    </row>
    <row r="123" spans="1:15" ht="15" thickBot="1" x14ac:dyDescent="0.4">
      <c r="A123" s="202" t="s">
        <v>199</v>
      </c>
      <c r="B123" s="42"/>
      <c r="C123" s="42"/>
      <c r="D123" s="42"/>
      <c r="E123" s="42"/>
      <c r="F123" s="42"/>
      <c r="G123" s="42"/>
      <c r="H123" s="42"/>
      <c r="I123" s="42"/>
      <c r="J123" s="43"/>
      <c r="K123" s="42"/>
      <c r="L123" s="42"/>
      <c r="M123" s="42"/>
      <c r="N123" s="42"/>
      <c r="O123" s="42"/>
    </row>
    <row r="124" spans="1:15" ht="16.5" thickTop="1" thickBot="1" x14ac:dyDescent="0.4">
      <c r="A124" s="115" t="s">
        <v>105</v>
      </c>
      <c r="B124" s="289" t="s">
        <v>1</v>
      </c>
      <c r="C124" s="338" t="s">
        <v>107</v>
      </c>
      <c r="D124" s="339"/>
      <c r="E124" s="339"/>
      <c r="F124" s="339"/>
      <c r="G124" s="339"/>
      <c r="H124" s="340"/>
      <c r="I124" s="42"/>
      <c r="J124" s="43"/>
      <c r="K124" s="42"/>
      <c r="L124" s="42"/>
      <c r="M124" s="42"/>
      <c r="N124" s="42"/>
      <c r="O124" s="42"/>
    </row>
    <row r="125" spans="1:15" ht="16.5" thickTop="1" thickBot="1" x14ac:dyDescent="0.4">
      <c r="A125" s="116" t="s">
        <v>106</v>
      </c>
      <c r="B125" s="288"/>
      <c r="C125" s="128">
        <v>-40</v>
      </c>
      <c r="D125" s="117">
        <v>-28</v>
      </c>
      <c r="E125" s="117">
        <v>-10.199999999999999</v>
      </c>
      <c r="F125" s="117">
        <v>-3.1</v>
      </c>
      <c r="G125" s="117">
        <v>15</v>
      </c>
      <c r="H125" s="132">
        <v>37</v>
      </c>
      <c r="I125" s="42"/>
      <c r="J125" s="43"/>
      <c r="K125" s="42"/>
      <c r="L125" s="42"/>
      <c r="M125" s="42"/>
      <c r="N125" s="42"/>
      <c r="O125" s="42"/>
    </row>
    <row r="126" spans="1:15" ht="16.5" thickTop="1" thickBot="1" x14ac:dyDescent="0.4">
      <c r="A126" s="203"/>
      <c r="B126" s="117" t="s">
        <v>3</v>
      </c>
      <c r="C126" s="405" t="s">
        <v>165</v>
      </c>
      <c r="D126" s="406"/>
      <c r="E126" s="406"/>
      <c r="F126" s="406"/>
      <c r="G126" s="406"/>
      <c r="H126" s="407"/>
      <c r="I126" s="42"/>
      <c r="J126" s="43"/>
      <c r="K126" s="42"/>
      <c r="L126" s="42"/>
      <c r="M126" s="42"/>
      <c r="N126" s="42"/>
      <c r="O126" s="42"/>
    </row>
    <row r="127" spans="1:15" ht="16" thickTop="1" thickBot="1" x14ac:dyDescent="0.4">
      <c r="A127" s="302" t="s">
        <v>8</v>
      </c>
      <c r="B127" s="303"/>
      <c r="C127" s="303"/>
      <c r="D127" s="303"/>
      <c r="E127" s="303"/>
      <c r="F127" s="303"/>
      <c r="G127" s="303"/>
      <c r="H127" s="304"/>
      <c r="I127" s="42"/>
      <c r="J127" s="43"/>
      <c r="K127" s="42"/>
      <c r="L127" s="42"/>
      <c r="M127" s="42"/>
      <c r="N127" s="42"/>
      <c r="O127" s="42"/>
    </row>
    <row r="128" spans="1:15" ht="32" thickTop="1" thickBot="1" x14ac:dyDescent="0.4">
      <c r="A128" s="134">
        <v>1</v>
      </c>
      <c r="B128" s="121" t="s">
        <v>9</v>
      </c>
      <c r="C128" s="327">
        <v>75</v>
      </c>
      <c r="D128" s="328"/>
      <c r="E128" s="328"/>
      <c r="F128" s="328"/>
      <c r="G128" s="328"/>
      <c r="H128" s="329"/>
      <c r="I128" s="42"/>
      <c r="J128" s="43"/>
      <c r="K128" s="42"/>
      <c r="L128" s="42"/>
      <c r="M128" s="42"/>
      <c r="N128" s="42"/>
      <c r="O128" s="42"/>
    </row>
    <row r="129" spans="1:15" ht="16.5" thickTop="1" thickBot="1" x14ac:dyDescent="0.4">
      <c r="A129" s="134">
        <v>2</v>
      </c>
      <c r="B129" s="121" t="s">
        <v>10</v>
      </c>
      <c r="C129" s="189">
        <v>127.3</v>
      </c>
      <c r="D129" s="127">
        <v>127.3</v>
      </c>
      <c r="E129" s="127">
        <v>127.3</v>
      </c>
      <c r="F129" s="127">
        <v>123.6</v>
      </c>
      <c r="G129" s="127">
        <v>111.9</v>
      </c>
      <c r="H129" s="128">
        <v>96.9</v>
      </c>
      <c r="I129" s="42"/>
      <c r="J129" s="43"/>
      <c r="K129" s="42"/>
      <c r="L129" s="42"/>
      <c r="M129" s="42"/>
      <c r="N129" s="42"/>
      <c r="O129" s="42"/>
    </row>
    <row r="130" spans="1:15" ht="16.5" thickTop="1" thickBot="1" x14ac:dyDescent="0.4">
      <c r="A130" s="134">
        <v>3</v>
      </c>
      <c r="B130" s="121" t="s">
        <v>11</v>
      </c>
      <c r="C130" s="189">
        <v>32.229999999999997</v>
      </c>
      <c r="D130" s="127">
        <v>32.22</v>
      </c>
      <c r="E130" s="127">
        <v>32.15</v>
      </c>
      <c r="F130" s="127">
        <v>31.94</v>
      </c>
      <c r="G130" s="127">
        <v>31.26</v>
      </c>
      <c r="H130" s="128">
        <v>30.02</v>
      </c>
      <c r="I130" s="42"/>
      <c r="J130" s="43"/>
      <c r="K130" s="42"/>
      <c r="L130" s="42"/>
      <c r="M130" s="42"/>
      <c r="N130" s="42"/>
      <c r="O130" s="42"/>
    </row>
    <row r="131" spans="1:15" ht="16" thickTop="1" x14ac:dyDescent="0.35">
      <c r="A131" s="289">
        <v>4</v>
      </c>
      <c r="B131" s="59" t="s">
        <v>12</v>
      </c>
      <c r="C131" s="412">
        <v>8.0500000000000007</v>
      </c>
      <c r="D131" s="334">
        <v>8.0500000000000007</v>
      </c>
      <c r="E131" s="334">
        <v>8.07</v>
      </c>
      <c r="F131" s="334">
        <v>7.88</v>
      </c>
      <c r="G131" s="334">
        <v>7.29</v>
      </c>
      <c r="H131" s="414">
        <v>6.57</v>
      </c>
      <c r="I131" s="42"/>
      <c r="J131" s="43"/>
      <c r="K131" s="42"/>
      <c r="L131" s="42"/>
      <c r="M131" s="42"/>
      <c r="N131" s="42"/>
      <c r="O131" s="42"/>
    </row>
    <row r="132" spans="1:15" ht="16" thickBot="1" x14ac:dyDescent="0.4">
      <c r="A132" s="288"/>
      <c r="B132" s="121" t="s">
        <v>13</v>
      </c>
      <c r="C132" s="413"/>
      <c r="D132" s="335"/>
      <c r="E132" s="335"/>
      <c r="F132" s="335"/>
      <c r="G132" s="335"/>
      <c r="H132" s="415"/>
      <c r="I132" s="42"/>
      <c r="J132" s="43"/>
      <c r="K132" s="42"/>
      <c r="L132" s="42"/>
      <c r="M132" s="42"/>
      <c r="N132" s="42"/>
      <c r="O132" s="42"/>
    </row>
    <row r="133" spans="1:15" ht="32" thickTop="1" thickBot="1" x14ac:dyDescent="0.4">
      <c r="A133" s="134">
        <v>5</v>
      </c>
      <c r="B133" s="121" t="s">
        <v>14</v>
      </c>
      <c r="C133" s="189">
        <v>431.4</v>
      </c>
      <c r="D133" s="127">
        <v>437.5</v>
      </c>
      <c r="E133" s="127">
        <v>447.6</v>
      </c>
      <c r="F133" s="127">
        <v>441.4</v>
      </c>
      <c r="G133" s="127">
        <v>418.2</v>
      </c>
      <c r="H133" s="128">
        <v>382</v>
      </c>
      <c r="I133" s="42"/>
      <c r="J133" s="43"/>
      <c r="K133" s="42"/>
      <c r="L133" s="42"/>
      <c r="M133" s="42"/>
      <c r="N133" s="42"/>
      <c r="O133" s="42"/>
    </row>
    <row r="134" spans="1:15" ht="32" thickTop="1" thickBot="1" x14ac:dyDescent="0.4">
      <c r="A134" s="134">
        <v>6</v>
      </c>
      <c r="B134" s="121" t="s">
        <v>15</v>
      </c>
      <c r="C134" s="189">
        <v>522.1</v>
      </c>
      <c r="D134" s="127">
        <v>525.9</v>
      </c>
      <c r="E134" s="127">
        <v>531.4</v>
      </c>
      <c r="F134" s="127">
        <v>533.6</v>
      </c>
      <c r="G134" s="127">
        <v>540.9</v>
      </c>
      <c r="H134" s="128">
        <v>556.70000000000005</v>
      </c>
      <c r="I134" s="42"/>
      <c r="J134" s="43"/>
      <c r="K134" s="42"/>
      <c r="L134" s="42"/>
      <c r="M134" s="42"/>
      <c r="N134" s="42"/>
      <c r="O134" s="42"/>
    </row>
    <row r="135" spans="1:15" ht="16" thickTop="1" thickBot="1" x14ac:dyDescent="0.4">
      <c r="A135" s="302" t="s">
        <v>16</v>
      </c>
      <c r="B135" s="303"/>
      <c r="C135" s="303"/>
      <c r="D135" s="303"/>
      <c r="E135" s="303"/>
      <c r="F135" s="303"/>
      <c r="G135" s="303"/>
      <c r="H135" s="304"/>
      <c r="I135" s="42"/>
      <c r="J135" s="43"/>
      <c r="K135" s="42"/>
      <c r="L135" s="42"/>
      <c r="M135" s="42"/>
      <c r="N135" s="42"/>
      <c r="O135" s="42"/>
    </row>
    <row r="136" spans="1:15" ht="32" thickTop="1" thickBot="1" x14ac:dyDescent="0.4">
      <c r="A136" s="289">
        <v>7</v>
      </c>
      <c r="B136" s="121" t="s">
        <v>110</v>
      </c>
      <c r="C136" s="315"/>
      <c r="D136" s="316"/>
      <c r="E136" s="316"/>
      <c r="F136" s="316"/>
      <c r="G136" s="316"/>
      <c r="H136" s="317"/>
      <c r="I136" s="42"/>
      <c r="J136" s="43"/>
      <c r="K136" s="42"/>
      <c r="L136" s="42"/>
      <c r="M136" s="42"/>
      <c r="N136" s="42"/>
      <c r="O136" s="42"/>
    </row>
    <row r="137" spans="1:15" ht="16.5" thickTop="1" thickBot="1" x14ac:dyDescent="0.4">
      <c r="A137" s="291"/>
      <c r="B137" s="121" t="s">
        <v>18</v>
      </c>
      <c r="C137" s="189">
        <v>455</v>
      </c>
      <c r="D137" s="127">
        <v>457.5</v>
      </c>
      <c r="E137" s="127">
        <v>461.1</v>
      </c>
      <c r="F137" s="127">
        <v>462.2</v>
      </c>
      <c r="G137" s="127">
        <v>466</v>
      </c>
      <c r="H137" s="128">
        <v>474.4</v>
      </c>
      <c r="I137" s="42"/>
      <c r="J137" s="43"/>
      <c r="K137" s="42"/>
      <c r="L137" s="42"/>
      <c r="M137" s="42"/>
      <c r="N137" s="42"/>
      <c r="O137" s="42"/>
    </row>
    <row r="138" spans="1:15" ht="16.5" thickTop="1" thickBot="1" x14ac:dyDescent="0.4">
      <c r="A138" s="291"/>
      <c r="B138" s="123" t="s">
        <v>19</v>
      </c>
      <c r="C138" s="192">
        <v>293.39999999999998</v>
      </c>
      <c r="D138" s="124">
        <v>295.3</v>
      </c>
      <c r="E138" s="124">
        <v>298.39999999999998</v>
      </c>
      <c r="F138" s="124">
        <v>297.89999999999998</v>
      </c>
      <c r="G138" s="124">
        <v>295.7</v>
      </c>
      <c r="H138" s="126">
        <v>292.8</v>
      </c>
      <c r="I138" s="42"/>
      <c r="J138" s="43"/>
      <c r="K138" s="42"/>
      <c r="L138" s="42"/>
      <c r="M138" s="42"/>
      <c r="N138" s="42"/>
      <c r="O138" s="42"/>
    </row>
    <row r="139" spans="1:15" ht="16" thickBot="1" x14ac:dyDescent="0.4">
      <c r="A139" s="291"/>
      <c r="B139" s="123" t="s">
        <v>20</v>
      </c>
      <c r="C139" s="192">
        <v>231.6</v>
      </c>
      <c r="D139" s="124">
        <v>232.1</v>
      </c>
      <c r="E139" s="124">
        <v>233</v>
      </c>
      <c r="F139" s="124">
        <v>232.3</v>
      </c>
      <c r="G139" s="124">
        <v>229.8</v>
      </c>
      <c r="H139" s="126">
        <v>225.7</v>
      </c>
      <c r="I139" s="42"/>
      <c r="J139" s="43"/>
      <c r="K139" s="42"/>
      <c r="L139" s="42"/>
      <c r="M139" s="42"/>
      <c r="N139" s="42"/>
      <c r="O139" s="42"/>
    </row>
    <row r="140" spans="1:15" ht="16" thickBot="1" x14ac:dyDescent="0.4">
      <c r="A140" s="291"/>
      <c r="B140" s="123" t="s">
        <v>21</v>
      </c>
      <c r="C140" s="192">
        <v>228.5</v>
      </c>
      <c r="D140" s="124">
        <v>229</v>
      </c>
      <c r="E140" s="124">
        <v>229.9</v>
      </c>
      <c r="F140" s="124">
        <v>229.3</v>
      </c>
      <c r="G140" s="124">
        <v>226.8</v>
      </c>
      <c r="H140" s="126">
        <v>222.8</v>
      </c>
      <c r="I140" s="42"/>
      <c r="J140" s="43"/>
      <c r="K140" s="42"/>
      <c r="L140" s="42"/>
      <c r="M140" s="42"/>
      <c r="N140" s="42"/>
      <c r="O140" s="42"/>
    </row>
    <row r="141" spans="1:15" ht="16" thickBot="1" x14ac:dyDescent="0.4">
      <c r="A141" s="291"/>
      <c r="B141" s="123" t="s">
        <v>22</v>
      </c>
      <c r="C141" s="192">
        <v>169.8</v>
      </c>
      <c r="D141" s="124">
        <v>170.6</v>
      </c>
      <c r="E141" s="124">
        <v>171.9</v>
      </c>
      <c r="F141" s="124">
        <v>171.3</v>
      </c>
      <c r="G141" s="124">
        <v>169.2</v>
      </c>
      <c r="H141" s="126">
        <v>165.9</v>
      </c>
      <c r="I141" s="42"/>
      <c r="J141" s="43"/>
      <c r="K141" s="42"/>
      <c r="L141" s="42"/>
      <c r="M141" s="42"/>
      <c r="N141" s="42"/>
      <c r="O141" s="42"/>
    </row>
    <row r="142" spans="1:15" ht="16" thickBot="1" x14ac:dyDescent="0.4">
      <c r="A142" s="290"/>
      <c r="B142" s="123" t="s">
        <v>23</v>
      </c>
      <c r="C142" s="192">
        <v>105.7</v>
      </c>
      <c r="D142" s="124">
        <v>107.6</v>
      </c>
      <c r="E142" s="124">
        <v>109.1</v>
      </c>
      <c r="F142" s="124">
        <v>108.5</v>
      </c>
      <c r="G142" s="124">
        <v>109.8</v>
      </c>
      <c r="H142" s="126">
        <v>111.5</v>
      </c>
      <c r="I142" s="42"/>
      <c r="J142" s="43"/>
      <c r="K142" s="42"/>
      <c r="L142" s="42"/>
      <c r="M142" s="42"/>
      <c r="N142" s="42"/>
      <c r="O142" s="42"/>
    </row>
    <row r="143" spans="1:15" ht="16" thickBot="1" x14ac:dyDescent="0.4">
      <c r="A143" s="287">
        <v>8</v>
      </c>
      <c r="B143" s="123" t="s">
        <v>24</v>
      </c>
      <c r="C143" s="321"/>
      <c r="D143" s="322"/>
      <c r="E143" s="322"/>
      <c r="F143" s="322"/>
      <c r="G143" s="322"/>
      <c r="H143" s="323"/>
      <c r="I143" s="42"/>
      <c r="J143" s="43"/>
      <c r="K143" s="42"/>
      <c r="L143" s="42"/>
      <c r="M143" s="42"/>
      <c r="N143" s="42"/>
      <c r="O143" s="42"/>
    </row>
    <row r="144" spans="1:15" ht="16" thickBot="1" x14ac:dyDescent="0.4">
      <c r="A144" s="291"/>
      <c r="B144" s="123" t="s">
        <v>25</v>
      </c>
      <c r="C144" s="192">
        <v>51.75</v>
      </c>
      <c r="D144" s="124">
        <v>53</v>
      </c>
      <c r="E144" s="124">
        <v>54.97</v>
      </c>
      <c r="F144" s="124">
        <v>54.61</v>
      </c>
      <c r="G144" s="124">
        <v>53.06</v>
      </c>
      <c r="H144" s="126">
        <v>50.92</v>
      </c>
      <c r="I144" s="42"/>
      <c r="J144" s="43"/>
      <c r="K144" s="42"/>
      <c r="L144" s="42"/>
      <c r="M144" s="42"/>
      <c r="N144" s="42"/>
      <c r="O144" s="42"/>
    </row>
    <row r="145" spans="1:15" ht="16" thickBot="1" x14ac:dyDescent="0.4">
      <c r="A145" s="291"/>
      <c r="B145" s="123" t="s">
        <v>26</v>
      </c>
      <c r="C145" s="192">
        <v>6.83</v>
      </c>
      <c r="D145" s="124">
        <v>7.0069999999999997</v>
      </c>
      <c r="E145" s="124">
        <v>7.2869999999999999</v>
      </c>
      <c r="F145" s="124">
        <v>7.2510000000000003</v>
      </c>
      <c r="G145" s="124">
        <v>7.08</v>
      </c>
      <c r="H145" s="126">
        <v>6.8680000000000003</v>
      </c>
      <c r="I145" s="42"/>
      <c r="J145" s="43"/>
      <c r="K145" s="42"/>
      <c r="L145" s="42"/>
      <c r="M145" s="42"/>
      <c r="N145" s="42"/>
      <c r="O145" s="42"/>
    </row>
    <row r="146" spans="1:15" ht="16" thickBot="1" x14ac:dyDescent="0.4">
      <c r="A146" s="290"/>
      <c r="B146" s="123" t="s">
        <v>27</v>
      </c>
      <c r="C146" s="192">
        <v>500.4</v>
      </c>
      <c r="D146" s="124">
        <v>503</v>
      </c>
      <c r="E146" s="124">
        <v>506.7</v>
      </c>
      <c r="F146" s="124">
        <v>508.7</v>
      </c>
      <c r="G146" s="124">
        <v>515.5</v>
      </c>
      <c r="H146" s="126">
        <v>529.70000000000005</v>
      </c>
      <c r="I146" s="42"/>
      <c r="J146" s="43"/>
      <c r="K146" s="42"/>
      <c r="L146" s="42"/>
      <c r="M146" s="42"/>
      <c r="N146" s="42"/>
      <c r="O146" s="42"/>
    </row>
    <row r="147" spans="1:15" ht="16" thickBot="1" x14ac:dyDescent="0.4">
      <c r="A147" s="287">
        <v>9</v>
      </c>
      <c r="B147" s="123" t="s">
        <v>28</v>
      </c>
      <c r="C147" s="321"/>
      <c r="D147" s="322"/>
      <c r="E147" s="322"/>
      <c r="F147" s="322"/>
      <c r="G147" s="322"/>
      <c r="H147" s="323"/>
      <c r="I147" s="42"/>
      <c r="J147" s="43"/>
      <c r="K147" s="42"/>
      <c r="L147" s="42"/>
      <c r="M147" s="42"/>
      <c r="N147" s="42"/>
      <c r="O147" s="42"/>
    </row>
    <row r="148" spans="1:15" ht="16" thickBot="1" x14ac:dyDescent="0.4">
      <c r="A148" s="291"/>
      <c r="B148" s="123" t="s">
        <v>25</v>
      </c>
      <c r="C148" s="192">
        <v>12.74</v>
      </c>
      <c r="D148" s="124">
        <v>12.87</v>
      </c>
      <c r="E148" s="124">
        <v>13.1</v>
      </c>
      <c r="F148" s="124">
        <v>12.88</v>
      </c>
      <c r="G148" s="124">
        <v>12.09</v>
      </c>
      <c r="H148" s="126">
        <v>10.85</v>
      </c>
      <c r="I148" s="42"/>
      <c r="J148" s="43"/>
      <c r="K148" s="42"/>
      <c r="L148" s="42"/>
      <c r="M148" s="42"/>
      <c r="N148" s="42"/>
      <c r="O148" s="42"/>
    </row>
    <row r="149" spans="1:15" ht="16" thickBot="1" x14ac:dyDescent="0.4">
      <c r="A149" s="291"/>
      <c r="B149" s="123" t="s">
        <v>26</v>
      </c>
      <c r="C149" s="192">
        <v>0.55600000000000005</v>
      </c>
      <c r="D149" s="124">
        <v>0.56699999999999995</v>
      </c>
      <c r="E149" s="124">
        <v>0.58399999999999996</v>
      </c>
      <c r="F149" s="124">
        <v>0.57799999999999996</v>
      </c>
      <c r="G149" s="124">
        <v>0.55600000000000005</v>
      </c>
      <c r="H149" s="126">
        <v>0.52600000000000002</v>
      </c>
      <c r="I149" s="42"/>
      <c r="J149" s="43"/>
      <c r="K149" s="42"/>
      <c r="L149" s="42"/>
      <c r="M149" s="42"/>
      <c r="N149" s="42"/>
      <c r="O149" s="42"/>
    </row>
    <row r="150" spans="1:15" ht="16" thickBot="1" x14ac:dyDescent="0.4">
      <c r="A150" s="288"/>
      <c r="B150" s="121" t="s">
        <v>27</v>
      </c>
      <c r="C150" s="189">
        <v>206.5</v>
      </c>
      <c r="D150" s="127">
        <v>207</v>
      </c>
      <c r="E150" s="127">
        <v>207.8</v>
      </c>
      <c r="F150" s="127">
        <v>207.5</v>
      </c>
      <c r="G150" s="127">
        <v>206.1</v>
      </c>
      <c r="H150" s="128">
        <v>203.9</v>
      </c>
      <c r="I150" s="42"/>
      <c r="J150" s="43"/>
      <c r="K150" s="42"/>
      <c r="L150" s="42"/>
      <c r="M150" s="42"/>
      <c r="N150" s="42"/>
      <c r="O150" s="42"/>
    </row>
    <row r="151" spans="1:15" ht="16" thickTop="1" thickBot="1" x14ac:dyDescent="0.4">
      <c r="A151" s="302" t="s">
        <v>29</v>
      </c>
      <c r="B151" s="303"/>
      <c r="C151" s="303"/>
      <c r="D151" s="303"/>
      <c r="E151" s="303"/>
      <c r="F151" s="303"/>
      <c r="G151" s="303"/>
      <c r="H151" s="304"/>
      <c r="I151" s="42"/>
      <c r="J151" s="43"/>
      <c r="K151" s="42"/>
      <c r="L151" s="42"/>
      <c r="M151" s="42"/>
      <c r="N151" s="42"/>
      <c r="O151" s="42"/>
    </row>
    <row r="152" spans="1:15" ht="32" thickTop="1" thickBot="1" x14ac:dyDescent="0.4">
      <c r="A152" s="295">
        <v>10</v>
      </c>
      <c r="B152" s="123" t="s">
        <v>30</v>
      </c>
      <c r="C152" s="324"/>
      <c r="D152" s="325"/>
      <c r="E152" s="325"/>
      <c r="F152" s="325"/>
      <c r="G152" s="325"/>
      <c r="H152" s="326"/>
      <c r="I152" s="42"/>
      <c r="J152" s="43"/>
      <c r="K152" s="42"/>
      <c r="L152" s="42"/>
      <c r="M152" s="42"/>
      <c r="N152" s="42"/>
      <c r="O152" s="42"/>
    </row>
    <row r="153" spans="1:15" ht="16" thickBot="1" x14ac:dyDescent="0.4">
      <c r="A153" s="314"/>
      <c r="B153" s="123" t="s">
        <v>25</v>
      </c>
      <c r="C153" s="192">
        <v>51.75</v>
      </c>
      <c r="D153" s="124">
        <v>53</v>
      </c>
      <c r="E153" s="124">
        <v>54.97</v>
      </c>
      <c r="F153" s="124">
        <v>54.61</v>
      </c>
      <c r="G153" s="124">
        <v>53.06</v>
      </c>
      <c r="H153" s="126">
        <v>50.92</v>
      </c>
      <c r="I153" s="42"/>
      <c r="J153" s="43"/>
      <c r="K153" s="42"/>
      <c r="L153" s="42"/>
      <c r="M153" s="42">
        <f>M158/P40</f>
        <v>0.61290322580645273</v>
      </c>
      <c r="N153" s="42">
        <f>E157/J39</f>
        <v>0.88753387533875339</v>
      </c>
      <c r="O153" s="42"/>
    </row>
    <row r="154" spans="1:15" ht="16" thickBot="1" x14ac:dyDescent="0.4">
      <c r="A154" s="314"/>
      <c r="B154" s="123" t="s">
        <v>26</v>
      </c>
      <c r="C154" s="192">
        <v>6.4009999999999998</v>
      </c>
      <c r="D154" s="124">
        <v>6.5640000000000001</v>
      </c>
      <c r="E154" s="124">
        <v>6.8209999999999997</v>
      </c>
      <c r="F154" s="124">
        <v>6.7889999999999997</v>
      </c>
      <c r="G154" s="124">
        <v>6.633</v>
      </c>
      <c r="H154" s="126">
        <v>6.4409999999999998</v>
      </c>
      <c r="I154" s="42"/>
      <c r="J154" s="43"/>
      <c r="K154" s="42"/>
      <c r="L154" s="42"/>
      <c r="M154" s="42"/>
      <c r="N154" s="42">
        <f>N153*N153</f>
        <v>0.78771637987382581</v>
      </c>
      <c r="O154" s="42"/>
    </row>
    <row r="155" spans="1:15" ht="16" thickBot="1" x14ac:dyDescent="0.4">
      <c r="A155" s="293"/>
      <c r="B155" s="123" t="s">
        <v>32</v>
      </c>
      <c r="C155" s="192">
        <v>497.9</v>
      </c>
      <c r="D155" s="124">
        <v>500.5</v>
      </c>
      <c r="E155" s="124">
        <v>504.1</v>
      </c>
      <c r="F155" s="124">
        <v>506.1</v>
      </c>
      <c r="G155" s="124">
        <v>513.1</v>
      </c>
      <c r="H155" s="126">
        <v>527.29999999999995</v>
      </c>
      <c r="I155" s="42"/>
      <c r="J155" s="43"/>
      <c r="K155" s="42"/>
      <c r="L155" s="42"/>
      <c r="M155" s="42"/>
      <c r="N155" s="42"/>
      <c r="O155" s="42"/>
    </row>
    <row r="156" spans="1:15" ht="31.5" thickBot="1" x14ac:dyDescent="0.4">
      <c r="A156" s="292">
        <v>11</v>
      </c>
      <c r="B156" s="123" t="s">
        <v>33</v>
      </c>
      <c r="C156" s="321"/>
      <c r="D156" s="322"/>
      <c r="E156" s="322"/>
      <c r="F156" s="322"/>
      <c r="G156" s="322"/>
      <c r="H156" s="323"/>
      <c r="I156" s="42"/>
      <c r="J156" s="43"/>
      <c r="K156" s="42"/>
      <c r="L156" s="42"/>
      <c r="M156" s="42"/>
      <c r="N156" s="42"/>
      <c r="O156" s="42"/>
    </row>
    <row r="157" spans="1:15" ht="16" thickBot="1" x14ac:dyDescent="0.4">
      <c r="A157" s="314"/>
      <c r="B157" s="121" t="s">
        <v>25</v>
      </c>
      <c r="C157" s="189">
        <v>12.74</v>
      </c>
      <c r="D157" s="127">
        <v>12.87</v>
      </c>
      <c r="E157" s="127">
        <v>13.1</v>
      </c>
      <c r="F157" s="127">
        <v>12.88</v>
      </c>
      <c r="G157" s="127">
        <v>12.09</v>
      </c>
      <c r="H157" s="128">
        <v>10.85</v>
      </c>
      <c r="I157" s="42"/>
      <c r="J157" s="43"/>
      <c r="K157" s="42"/>
      <c r="L157" s="42"/>
      <c r="M157" s="42"/>
      <c r="N157" s="42"/>
      <c r="O157" s="42"/>
    </row>
    <row r="158" spans="1:15" ht="16.5" thickTop="1" thickBot="1" x14ac:dyDescent="0.4">
      <c r="A158" s="314"/>
      <c r="B158" s="121" t="s">
        <v>26</v>
      </c>
      <c r="C158" s="189">
        <v>0.48</v>
      </c>
      <c r="D158" s="127">
        <v>0.49</v>
      </c>
      <c r="E158" s="127">
        <v>0.50600000000000001</v>
      </c>
      <c r="F158" s="127">
        <v>0.503</v>
      </c>
      <c r="G158" s="127">
        <v>0.48799999999999999</v>
      </c>
      <c r="H158" s="128">
        <v>0.46800000000000003</v>
      </c>
      <c r="I158" s="42"/>
      <c r="J158" s="169">
        <f>E158-E162</f>
        <v>3.7999999999999978E-2</v>
      </c>
      <c r="K158" s="169">
        <f>F158-F162</f>
        <v>3.7999999999999978E-2</v>
      </c>
      <c r="L158" s="169">
        <f>G158-G162</f>
        <v>3.7999999999999978E-2</v>
      </c>
      <c r="M158" s="169">
        <f>H158-H162</f>
        <v>3.8000000000000034E-2</v>
      </c>
    </row>
    <row r="159" spans="1:15" ht="16.5" thickTop="1" thickBot="1" x14ac:dyDescent="0.4">
      <c r="A159" s="294"/>
      <c r="B159" s="121" t="s">
        <v>27</v>
      </c>
      <c r="C159" s="189">
        <v>204.7</v>
      </c>
      <c r="D159" s="127">
        <v>205.2</v>
      </c>
      <c r="E159" s="127">
        <v>206</v>
      </c>
      <c r="F159" s="127">
        <v>205.7</v>
      </c>
      <c r="G159" s="127">
        <v>204.4</v>
      </c>
      <c r="H159" s="128">
        <v>202.4</v>
      </c>
      <c r="I159" s="42"/>
      <c r="J159" s="43"/>
      <c r="K159" s="42"/>
      <c r="L159" s="42"/>
      <c r="M159" s="42"/>
      <c r="N159" s="42"/>
      <c r="O159" s="42"/>
    </row>
    <row r="160" spans="1:15" ht="16.5" thickTop="1" thickBot="1" x14ac:dyDescent="0.4">
      <c r="A160" s="295">
        <v>12</v>
      </c>
      <c r="B160" s="121" t="s">
        <v>34</v>
      </c>
      <c r="C160" s="308"/>
      <c r="D160" s="309"/>
      <c r="E160" s="309"/>
      <c r="F160" s="309"/>
      <c r="G160" s="309"/>
      <c r="H160" s="310"/>
      <c r="I160" s="42"/>
      <c r="J160" s="43"/>
      <c r="K160" s="42"/>
      <c r="L160" s="42"/>
      <c r="M160" s="42"/>
      <c r="N160" s="42"/>
      <c r="O160" s="42"/>
    </row>
    <row r="161" spans="1:15" ht="16.5" thickTop="1" thickBot="1" x14ac:dyDescent="0.4">
      <c r="A161" s="314"/>
      <c r="B161" s="121" t="s">
        <v>31</v>
      </c>
      <c r="C161" s="189">
        <v>64.25</v>
      </c>
      <c r="D161" s="127">
        <v>65.61</v>
      </c>
      <c r="E161" s="127">
        <v>67.81</v>
      </c>
      <c r="F161" s="127">
        <v>67.22</v>
      </c>
      <c r="G161" s="127">
        <v>64.89</v>
      </c>
      <c r="H161" s="128">
        <v>61.55</v>
      </c>
      <c r="I161" s="42"/>
      <c r="J161" s="43"/>
      <c r="K161" s="42"/>
      <c r="L161" s="42"/>
      <c r="M161" s="42"/>
      <c r="N161" s="42"/>
      <c r="O161" s="42"/>
    </row>
    <row r="162" spans="1:15" ht="16.5" thickTop="1" thickBot="1" x14ac:dyDescent="0.4">
      <c r="A162" s="314"/>
      <c r="B162" s="121" t="s">
        <v>26</v>
      </c>
      <c r="C162" s="189">
        <v>0.442</v>
      </c>
      <c r="D162" s="127">
        <v>0.45200000000000001</v>
      </c>
      <c r="E162" s="127">
        <v>0.46800000000000003</v>
      </c>
      <c r="F162" s="127">
        <v>0.46500000000000002</v>
      </c>
      <c r="G162" s="127">
        <v>0.45</v>
      </c>
      <c r="H162" s="128">
        <v>0.43</v>
      </c>
      <c r="I162" s="42"/>
      <c r="J162" s="43"/>
      <c r="K162" s="42"/>
      <c r="L162" s="42"/>
      <c r="M162" s="42"/>
      <c r="N162" s="42"/>
      <c r="O162" s="42"/>
    </row>
    <row r="163" spans="1:15" ht="16.5" thickTop="1" thickBot="1" x14ac:dyDescent="0.4">
      <c r="A163" s="294"/>
      <c r="B163" s="121" t="s">
        <v>35</v>
      </c>
      <c r="C163" s="189">
        <v>191.7</v>
      </c>
      <c r="D163" s="127">
        <v>192.8</v>
      </c>
      <c r="E163" s="127">
        <v>194.4</v>
      </c>
      <c r="F163" s="127">
        <v>195.3</v>
      </c>
      <c r="G163" s="127">
        <v>198.3</v>
      </c>
      <c r="H163" s="128">
        <v>205.1</v>
      </c>
      <c r="I163" s="42"/>
      <c r="J163" s="43"/>
      <c r="K163" s="42"/>
      <c r="L163" s="42"/>
      <c r="M163" s="42"/>
      <c r="N163" s="42"/>
      <c r="O163" s="42"/>
    </row>
    <row r="164" spans="1:15" ht="16.5" thickTop="1" thickBot="1" x14ac:dyDescent="0.4">
      <c r="A164" s="295">
        <v>13</v>
      </c>
      <c r="B164" s="141" t="s">
        <v>36</v>
      </c>
      <c r="C164" s="308"/>
      <c r="D164" s="309"/>
      <c r="E164" s="309"/>
      <c r="F164" s="309"/>
      <c r="G164" s="309"/>
      <c r="H164" s="310"/>
      <c r="I164" s="42"/>
      <c r="J164" s="43"/>
      <c r="K164" s="42"/>
      <c r="L164" s="42"/>
      <c r="M164" s="42"/>
      <c r="N164" s="42"/>
      <c r="O164" s="42"/>
    </row>
    <row r="165" spans="1:15" ht="16.5" thickTop="1" thickBot="1" x14ac:dyDescent="0.4">
      <c r="A165" s="314"/>
      <c r="B165" s="123" t="s">
        <v>31</v>
      </c>
      <c r="C165" s="124">
        <v>0</v>
      </c>
      <c r="D165" s="125">
        <v>0</v>
      </c>
      <c r="E165" s="124">
        <v>0</v>
      </c>
      <c r="F165" s="124">
        <v>0</v>
      </c>
      <c r="G165" s="124">
        <v>0</v>
      </c>
      <c r="H165" s="125">
        <v>0</v>
      </c>
      <c r="I165" s="42"/>
      <c r="J165" s="43"/>
      <c r="K165" s="42"/>
      <c r="L165" s="42"/>
      <c r="M165" s="42"/>
      <c r="N165" s="42"/>
      <c r="O165" s="42"/>
    </row>
    <row r="166" spans="1:15" ht="16" thickBot="1" x14ac:dyDescent="0.4">
      <c r="A166" s="314"/>
      <c r="B166" s="121" t="s">
        <v>26</v>
      </c>
      <c r="C166" s="189">
        <v>0.184</v>
      </c>
      <c r="D166" s="117">
        <v>0.189</v>
      </c>
      <c r="E166" s="127">
        <v>0.19500000000000001</v>
      </c>
      <c r="F166" s="189">
        <v>0.19400000000000001</v>
      </c>
      <c r="G166" s="127">
        <v>0.188</v>
      </c>
      <c r="H166" s="117">
        <v>0.18</v>
      </c>
      <c r="I166" s="42"/>
      <c r="J166" s="43"/>
      <c r="K166" s="42"/>
      <c r="L166" s="42"/>
      <c r="M166" s="42"/>
      <c r="N166" s="42"/>
      <c r="O166" s="42"/>
    </row>
    <row r="167" spans="1:15" ht="16.5" thickTop="1" thickBot="1" x14ac:dyDescent="0.4">
      <c r="A167" s="294"/>
      <c r="B167" s="121" t="s">
        <v>27</v>
      </c>
      <c r="C167" s="189">
        <v>118.4</v>
      </c>
      <c r="D167" s="117">
        <v>119.3</v>
      </c>
      <c r="E167" s="127">
        <v>120.4</v>
      </c>
      <c r="F167" s="189">
        <v>121.1</v>
      </c>
      <c r="G167" s="127">
        <v>123.9</v>
      </c>
      <c r="H167" s="117">
        <v>129.9</v>
      </c>
      <c r="I167" s="42"/>
      <c r="J167" s="43"/>
      <c r="K167" s="42"/>
      <c r="L167" s="42"/>
      <c r="M167" s="42"/>
      <c r="N167" s="42"/>
      <c r="O167" s="42"/>
    </row>
    <row r="168" spans="1:15" ht="16.5" thickTop="1" thickBot="1" x14ac:dyDescent="0.4">
      <c r="A168" s="295">
        <v>14</v>
      </c>
      <c r="B168" s="123" t="s">
        <v>37</v>
      </c>
      <c r="C168" s="324"/>
      <c r="D168" s="325"/>
      <c r="E168" s="325"/>
      <c r="F168" s="325"/>
      <c r="G168" s="325"/>
      <c r="H168" s="326"/>
      <c r="I168" s="42"/>
      <c r="J168" s="43"/>
      <c r="K168" s="42"/>
      <c r="L168" s="42"/>
      <c r="M168" s="42"/>
      <c r="N168" s="42"/>
      <c r="O168" s="42"/>
    </row>
    <row r="169" spans="1:15" ht="16" thickBot="1" x14ac:dyDescent="0.4">
      <c r="A169" s="314"/>
      <c r="B169" s="121" t="s">
        <v>31</v>
      </c>
      <c r="C169" s="127">
        <v>0</v>
      </c>
      <c r="D169" s="117">
        <v>0</v>
      </c>
      <c r="E169" s="127">
        <v>0</v>
      </c>
      <c r="F169" s="127">
        <v>0</v>
      </c>
      <c r="G169" s="127">
        <v>0</v>
      </c>
      <c r="H169" s="117">
        <v>0</v>
      </c>
      <c r="I169" s="42"/>
      <c r="J169" s="43"/>
      <c r="K169" s="42"/>
      <c r="L169" s="42"/>
      <c r="M169" s="42"/>
      <c r="N169" s="42"/>
      <c r="O169" s="42"/>
    </row>
    <row r="170" spans="1:15" ht="16.5" thickTop="1" thickBot="1" x14ac:dyDescent="0.4">
      <c r="A170" s="314"/>
      <c r="B170" s="121" t="s">
        <v>26</v>
      </c>
      <c r="C170" s="189">
        <v>0.08</v>
      </c>
      <c r="D170" s="117">
        <v>8.2000000000000003E-2</v>
      </c>
      <c r="E170" s="127">
        <v>8.5000000000000006E-2</v>
      </c>
      <c r="F170" s="189">
        <v>8.4000000000000005E-2</v>
      </c>
      <c r="G170" s="127">
        <v>8.1000000000000003E-2</v>
      </c>
      <c r="H170" s="117">
        <v>7.9000000000000001E-2</v>
      </c>
      <c r="I170" s="42"/>
      <c r="J170" s="43"/>
      <c r="K170" s="42"/>
      <c r="L170" s="42"/>
      <c r="M170" s="42"/>
      <c r="N170" s="42"/>
      <c r="O170" s="42"/>
    </row>
    <row r="171" spans="1:15" ht="16.5" thickTop="1" thickBot="1" x14ac:dyDescent="0.4">
      <c r="A171" s="293"/>
      <c r="B171" s="123" t="s">
        <v>27</v>
      </c>
      <c r="C171" s="192">
        <v>93.4</v>
      </c>
      <c r="D171" s="125">
        <v>94</v>
      </c>
      <c r="E171" s="124">
        <v>95</v>
      </c>
      <c r="F171" s="192">
        <v>94.8</v>
      </c>
      <c r="G171" s="124">
        <v>93.9</v>
      </c>
      <c r="H171" s="125">
        <v>93</v>
      </c>
      <c r="I171" s="42"/>
      <c r="J171" s="43"/>
      <c r="K171" s="42"/>
      <c r="L171" s="42"/>
      <c r="M171" s="42"/>
      <c r="N171" s="42"/>
      <c r="O171" s="42"/>
    </row>
    <row r="172" spans="1:15" ht="16" thickBot="1" x14ac:dyDescent="0.4">
      <c r="A172" s="292">
        <v>15</v>
      </c>
      <c r="B172" s="121" t="s">
        <v>38</v>
      </c>
      <c r="C172" s="318"/>
      <c r="D172" s="319"/>
      <c r="E172" s="319"/>
      <c r="F172" s="319"/>
      <c r="G172" s="319"/>
      <c r="H172" s="320"/>
      <c r="I172" s="42"/>
      <c r="J172" s="43"/>
      <c r="K172" s="42"/>
      <c r="L172" s="42"/>
      <c r="M172" s="42"/>
      <c r="N172" s="42"/>
      <c r="O172" s="42"/>
    </row>
    <row r="173" spans="1:15" ht="16.5" thickTop="1" thickBot="1" x14ac:dyDescent="0.4">
      <c r="A173" s="314"/>
      <c r="B173" s="121" t="s">
        <v>31</v>
      </c>
      <c r="C173" s="189">
        <v>64.25</v>
      </c>
      <c r="D173" s="117">
        <v>65.61</v>
      </c>
      <c r="E173" s="127">
        <v>67.81</v>
      </c>
      <c r="F173" s="189">
        <v>67.22</v>
      </c>
      <c r="G173" s="127">
        <v>64.89</v>
      </c>
      <c r="H173" s="117">
        <v>61.55</v>
      </c>
      <c r="I173" s="42"/>
      <c r="J173" s="43"/>
      <c r="K173" s="42"/>
      <c r="L173" s="42"/>
      <c r="M173" s="42"/>
      <c r="N173" s="42"/>
      <c r="O173" s="42"/>
    </row>
    <row r="174" spans="1:15" ht="16.5" thickTop="1" thickBot="1" x14ac:dyDescent="0.4">
      <c r="A174" s="314"/>
      <c r="B174" s="121" t="s">
        <v>27</v>
      </c>
      <c r="C174" s="189">
        <v>93.4</v>
      </c>
      <c r="D174" s="117">
        <v>94</v>
      </c>
      <c r="E174" s="127">
        <v>95</v>
      </c>
      <c r="F174" s="189">
        <v>94.8</v>
      </c>
      <c r="G174" s="127">
        <v>93.9</v>
      </c>
      <c r="H174" s="117">
        <v>93</v>
      </c>
      <c r="I174" s="42"/>
      <c r="J174" s="43"/>
      <c r="K174" s="42"/>
      <c r="L174" s="42"/>
      <c r="M174" s="42"/>
      <c r="N174" s="42"/>
      <c r="O174" s="42"/>
    </row>
    <row r="175" spans="1:15" ht="47.5" thickTop="1" thickBot="1" x14ac:dyDescent="0.4">
      <c r="A175" s="294"/>
      <c r="B175" s="121" t="s">
        <v>114</v>
      </c>
      <c r="C175" s="189" t="s">
        <v>201</v>
      </c>
      <c r="D175" s="117" t="s">
        <v>201</v>
      </c>
      <c r="E175" s="127" t="s">
        <v>201</v>
      </c>
      <c r="F175" s="189" t="s">
        <v>202</v>
      </c>
      <c r="G175" s="127" t="s">
        <v>203</v>
      </c>
      <c r="H175" s="117" t="s">
        <v>204</v>
      </c>
      <c r="I175" s="42"/>
      <c r="J175" s="43"/>
      <c r="K175" s="42"/>
      <c r="L175" s="42"/>
      <c r="M175" s="42"/>
      <c r="N175" s="42"/>
      <c r="O175" s="42"/>
    </row>
    <row r="176" spans="1:15" ht="16.5" thickTop="1" thickBot="1" x14ac:dyDescent="0.4">
      <c r="A176" s="295">
        <v>16</v>
      </c>
      <c r="B176" s="121" t="s">
        <v>53</v>
      </c>
      <c r="C176" s="308"/>
      <c r="D176" s="309"/>
      <c r="E176" s="309"/>
      <c r="F176" s="309"/>
      <c r="G176" s="309"/>
      <c r="H176" s="310"/>
      <c r="I176" s="42"/>
      <c r="J176" s="43"/>
      <c r="K176" s="42"/>
      <c r="L176" s="42"/>
      <c r="M176" s="42"/>
      <c r="N176" s="42"/>
      <c r="O176" s="42"/>
    </row>
    <row r="177" spans="1:15" ht="16.5" thickTop="1" thickBot="1" x14ac:dyDescent="0.4">
      <c r="A177" s="314"/>
      <c r="B177" s="121" t="s">
        <v>31</v>
      </c>
      <c r="C177" s="189">
        <v>64.25</v>
      </c>
      <c r="D177" s="117">
        <v>65.61</v>
      </c>
      <c r="E177" s="127">
        <v>67.81</v>
      </c>
      <c r="F177" s="189">
        <v>67.22</v>
      </c>
      <c r="G177" s="127">
        <v>64.89</v>
      </c>
      <c r="H177" s="117">
        <v>61.55</v>
      </c>
      <c r="I177" s="42"/>
      <c r="J177" s="43"/>
      <c r="K177" s="42"/>
      <c r="L177" s="42"/>
      <c r="M177" s="42"/>
      <c r="N177" s="42"/>
      <c r="O177" s="42"/>
    </row>
    <row r="178" spans="1:15" ht="16.5" thickTop="1" thickBot="1" x14ac:dyDescent="0.4">
      <c r="A178" s="314"/>
      <c r="B178" s="121" t="s">
        <v>26</v>
      </c>
      <c r="C178" s="189">
        <v>6.0000000000000001E-3</v>
      </c>
      <c r="D178" s="117">
        <v>7.0000000000000001E-3</v>
      </c>
      <c r="E178" s="127">
        <v>8.0000000000000002E-3</v>
      </c>
      <c r="F178" s="189">
        <v>8.9999999999999993E-3</v>
      </c>
      <c r="G178" s="127">
        <v>1.0999999999999999E-2</v>
      </c>
      <c r="H178" s="117">
        <v>1.7000000000000001E-2</v>
      </c>
      <c r="I178" s="42"/>
      <c r="J178" s="43"/>
      <c r="K178" s="42"/>
      <c r="L178" s="42"/>
      <c r="M178" s="42"/>
      <c r="N178" s="42"/>
      <c r="O178" s="42"/>
    </row>
    <row r="179" spans="1:15" ht="47.5" thickTop="1" thickBot="1" x14ac:dyDescent="0.4">
      <c r="A179" s="294"/>
      <c r="B179" s="121" t="s">
        <v>122</v>
      </c>
      <c r="C179" s="189" t="s">
        <v>205</v>
      </c>
      <c r="D179" s="117" t="s">
        <v>206</v>
      </c>
      <c r="E179" s="127" t="s">
        <v>207</v>
      </c>
      <c r="F179" s="189" t="s">
        <v>208</v>
      </c>
      <c r="G179" s="127" t="s">
        <v>209</v>
      </c>
      <c r="H179" s="117" t="s">
        <v>210</v>
      </c>
      <c r="I179" s="42"/>
      <c r="J179" s="43"/>
      <c r="K179" s="42"/>
      <c r="L179" s="42"/>
      <c r="M179" s="42"/>
      <c r="N179" s="42"/>
      <c r="O179" s="42"/>
    </row>
    <row r="180" spans="1:15" ht="16" thickTop="1" thickBot="1" x14ac:dyDescent="0.4">
      <c r="A180" s="302" t="s">
        <v>63</v>
      </c>
      <c r="B180" s="303"/>
      <c r="C180" s="303"/>
      <c r="D180" s="303"/>
      <c r="E180" s="303"/>
      <c r="F180" s="303"/>
      <c r="G180" s="303"/>
      <c r="H180" s="304"/>
      <c r="I180" s="42"/>
      <c r="J180" s="43"/>
      <c r="K180" s="42"/>
      <c r="L180" s="42"/>
      <c r="M180" s="42"/>
      <c r="N180" s="42"/>
      <c r="O180" s="42"/>
    </row>
    <row r="181" spans="1:15" ht="16.5" thickTop="1" thickBot="1" x14ac:dyDescent="0.4">
      <c r="A181" s="134">
        <v>17</v>
      </c>
      <c r="B181" s="121" t="s">
        <v>26</v>
      </c>
      <c r="C181" s="189">
        <v>6.0000000000000001E-3</v>
      </c>
      <c r="D181" s="117">
        <v>7.0000000000000001E-3</v>
      </c>
      <c r="E181" s="127">
        <v>8.0000000000000002E-3</v>
      </c>
      <c r="F181" s="189">
        <v>8.9999999999999993E-3</v>
      </c>
      <c r="G181" s="127">
        <v>1.0999999999999999E-2</v>
      </c>
      <c r="H181" s="117">
        <v>1.7000000000000001E-2</v>
      </c>
      <c r="I181" s="42"/>
      <c r="J181" s="43"/>
      <c r="K181" s="42"/>
      <c r="L181" s="42"/>
      <c r="M181" s="42"/>
      <c r="N181" s="42"/>
      <c r="O181" s="42"/>
    </row>
    <row r="182" spans="1:15" ht="32" thickTop="1" thickBot="1" x14ac:dyDescent="0.4">
      <c r="A182" s="134">
        <v>18</v>
      </c>
      <c r="B182" s="121" t="s">
        <v>64</v>
      </c>
      <c r="C182" s="189">
        <v>35.450000000000003</v>
      </c>
      <c r="D182" s="117">
        <v>38.869999999999997</v>
      </c>
      <c r="E182" s="127">
        <v>41.51</v>
      </c>
      <c r="F182" s="189">
        <v>43.46</v>
      </c>
      <c r="G182" s="127">
        <v>47.73</v>
      </c>
      <c r="H182" s="117">
        <v>56.87</v>
      </c>
      <c r="I182" s="42"/>
      <c r="J182" s="43"/>
      <c r="K182" s="42"/>
      <c r="L182" s="42"/>
      <c r="M182" s="42"/>
      <c r="N182" s="42"/>
      <c r="O182" s="42"/>
    </row>
    <row r="183" spans="1:15" ht="32" thickTop="1" thickBot="1" x14ac:dyDescent="0.4">
      <c r="A183" s="134">
        <v>19</v>
      </c>
      <c r="B183" s="121" t="s">
        <v>65</v>
      </c>
      <c r="C183" s="189">
        <v>3611</v>
      </c>
      <c r="D183" s="117">
        <v>3611</v>
      </c>
      <c r="E183" s="127">
        <v>3611</v>
      </c>
      <c r="F183" s="189">
        <v>3611</v>
      </c>
      <c r="G183" s="127">
        <v>3611</v>
      </c>
      <c r="H183" s="117">
        <v>3611</v>
      </c>
      <c r="I183" s="42"/>
      <c r="J183" s="43"/>
      <c r="K183" s="42"/>
      <c r="L183" s="42"/>
      <c r="M183" s="42"/>
      <c r="N183" s="42"/>
      <c r="O183" s="42"/>
    </row>
    <row r="184" spans="1:15" ht="32" thickTop="1" thickBot="1" x14ac:dyDescent="0.4">
      <c r="A184" s="134">
        <v>20</v>
      </c>
      <c r="B184" s="121" t="s">
        <v>127</v>
      </c>
      <c r="C184" s="189">
        <v>13</v>
      </c>
      <c r="D184" s="117">
        <v>16</v>
      </c>
      <c r="E184" s="127">
        <v>18</v>
      </c>
      <c r="F184" s="189">
        <v>20</v>
      </c>
      <c r="G184" s="127">
        <v>25</v>
      </c>
      <c r="H184" s="117">
        <v>35</v>
      </c>
      <c r="I184" s="42"/>
      <c r="J184" s="43"/>
      <c r="K184" s="42"/>
      <c r="L184" s="42"/>
      <c r="M184" s="42"/>
      <c r="N184" s="42"/>
      <c r="O184" s="42"/>
    </row>
    <row r="185" spans="1:15" ht="32" thickTop="1" thickBot="1" x14ac:dyDescent="0.4">
      <c r="A185" s="134">
        <v>21</v>
      </c>
      <c r="B185" s="121" t="s">
        <v>128</v>
      </c>
      <c r="C185" s="189">
        <v>22.4</v>
      </c>
      <c r="D185" s="117">
        <v>25.6</v>
      </c>
      <c r="E185" s="127">
        <v>27.9</v>
      </c>
      <c r="F185" s="189">
        <v>29.8</v>
      </c>
      <c r="G185" s="127">
        <v>34.5</v>
      </c>
      <c r="H185" s="117">
        <v>44.1</v>
      </c>
      <c r="I185" s="42"/>
      <c r="J185" s="43"/>
      <c r="K185" s="42"/>
      <c r="L185" s="42"/>
      <c r="M185" s="42"/>
      <c r="N185" s="42"/>
      <c r="O185" s="42"/>
    </row>
    <row r="186" spans="1:15" ht="31.5" thickTop="1" x14ac:dyDescent="0.35">
      <c r="A186" s="289">
        <v>22</v>
      </c>
      <c r="B186" s="59" t="s">
        <v>129</v>
      </c>
      <c r="C186" s="137"/>
      <c r="D186" s="139"/>
      <c r="E186" s="137"/>
      <c r="F186" s="137"/>
      <c r="G186" s="137"/>
      <c r="H186" s="139"/>
      <c r="I186" s="42"/>
      <c r="J186" s="43"/>
      <c r="K186" s="42"/>
      <c r="L186" s="42"/>
      <c r="M186" s="42"/>
      <c r="N186" s="42"/>
      <c r="O186" s="42"/>
    </row>
    <row r="187" spans="1:15" ht="16" thickBot="1" x14ac:dyDescent="0.4">
      <c r="A187" s="288"/>
      <c r="B187" s="121" t="s">
        <v>130</v>
      </c>
      <c r="C187" s="189">
        <v>38.200000000000003</v>
      </c>
      <c r="D187" s="117">
        <v>41.6</v>
      </c>
      <c r="E187" s="127">
        <v>44.3</v>
      </c>
      <c r="F187" s="189">
        <v>44.5</v>
      </c>
      <c r="G187" s="127">
        <v>50.5</v>
      </c>
      <c r="H187" s="117">
        <v>59.6</v>
      </c>
      <c r="I187" s="42"/>
      <c r="J187" s="43"/>
      <c r="K187" s="42"/>
      <c r="L187" s="42"/>
      <c r="M187" s="42"/>
      <c r="N187" s="42"/>
      <c r="O187" s="42"/>
    </row>
    <row r="188" spans="1:15" ht="32" thickTop="1" thickBot="1" x14ac:dyDescent="0.4">
      <c r="A188" s="134">
        <v>23</v>
      </c>
      <c r="B188" s="121" t="s">
        <v>131</v>
      </c>
      <c r="C188" s="127" t="s">
        <v>182</v>
      </c>
      <c r="D188" s="117" t="s">
        <v>182</v>
      </c>
      <c r="E188" s="127" t="s">
        <v>182</v>
      </c>
      <c r="F188" s="127" t="s">
        <v>182</v>
      </c>
      <c r="G188" s="127" t="s">
        <v>182</v>
      </c>
      <c r="H188" s="117" t="s">
        <v>182</v>
      </c>
      <c r="I188" s="42"/>
      <c r="J188" s="43"/>
      <c r="K188" s="42"/>
      <c r="L188" s="42"/>
      <c r="M188" s="42"/>
      <c r="N188" s="42"/>
      <c r="O188" s="42"/>
    </row>
    <row r="189" spans="1:15" ht="31.5" thickTop="1" x14ac:dyDescent="0.35">
      <c r="A189" s="289">
        <v>24</v>
      </c>
      <c r="B189" s="59" t="s">
        <v>132</v>
      </c>
      <c r="C189" s="137"/>
      <c r="D189" s="139"/>
      <c r="E189" s="137"/>
      <c r="F189" s="137"/>
      <c r="G189" s="137"/>
      <c r="H189" s="139"/>
      <c r="I189" s="42"/>
      <c r="J189" s="43"/>
      <c r="K189" s="42"/>
      <c r="L189" s="42"/>
      <c r="M189" s="42"/>
      <c r="N189" s="42"/>
      <c r="O189" s="42"/>
    </row>
    <row r="190" spans="1:15" ht="31.5" thickBot="1" x14ac:dyDescent="0.4">
      <c r="A190" s="288"/>
      <c r="B190" s="121" t="s">
        <v>72</v>
      </c>
      <c r="C190" s="189">
        <v>38.200000000000003</v>
      </c>
      <c r="D190" s="117">
        <v>41.6</v>
      </c>
      <c r="E190" s="127">
        <v>44.3</v>
      </c>
      <c r="F190" s="189">
        <v>44.5</v>
      </c>
      <c r="G190" s="127">
        <v>50.5</v>
      </c>
      <c r="H190" s="117">
        <v>59.6</v>
      </c>
      <c r="I190" s="42"/>
      <c r="J190" s="43"/>
      <c r="K190" s="42"/>
      <c r="L190" s="42"/>
      <c r="M190" s="42"/>
      <c r="N190" s="42"/>
      <c r="O190" s="42"/>
    </row>
    <row r="191" spans="1:15" ht="31.5" thickTop="1" x14ac:dyDescent="0.35">
      <c r="A191" s="289">
        <v>25</v>
      </c>
      <c r="B191" s="59" t="s">
        <v>133</v>
      </c>
      <c r="C191" s="137"/>
      <c r="D191" s="139"/>
      <c r="E191" s="137"/>
      <c r="F191" s="137"/>
      <c r="G191" s="137"/>
      <c r="H191" s="139"/>
      <c r="I191" s="42"/>
      <c r="J191" s="43"/>
      <c r="K191" s="42"/>
      <c r="L191" s="42"/>
      <c r="M191" s="42"/>
      <c r="N191" s="42"/>
      <c r="O191" s="42"/>
    </row>
    <row r="192" spans="1:15" ht="16" thickBot="1" x14ac:dyDescent="0.4">
      <c r="A192" s="290"/>
      <c r="B192" s="123" t="s">
        <v>76</v>
      </c>
      <c r="C192" s="192">
        <v>64.81</v>
      </c>
      <c r="D192" s="125">
        <v>66.19</v>
      </c>
      <c r="E192" s="124">
        <v>68.38</v>
      </c>
      <c r="F192" s="192">
        <v>67.81</v>
      </c>
      <c r="G192" s="124">
        <v>65.45</v>
      </c>
      <c r="H192" s="125">
        <v>62.09</v>
      </c>
      <c r="I192" s="42"/>
      <c r="J192" s="43"/>
      <c r="K192" s="42"/>
      <c r="L192" s="42"/>
      <c r="M192" s="42"/>
      <c r="N192" s="42"/>
      <c r="O192" s="42"/>
    </row>
    <row r="193" spans="1:15" ht="31" x14ac:dyDescent="0.35">
      <c r="A193" s="287">
        <v>26</v>
      </c>
      <c r="B193" s="59" t="s">
        <v>75</v>
      </c>
      <c r="C193" s="137"/>
      <c r="D193" s="119"/>
      <c r="E193" s="138"/>
      <c r="F193" s="137"/>
      <c r="G193" s="138"/>
      <c r="H193" s="119"/>
      <c r="I193" s="42"/>
      <c r="J193" s="43"/>
      <c r="K193" s="42"/>
      <c r="L193" s="42"/>
      <c r="M193" s="42"/>
      <c r="N193" s="42"/>
      <c r="O193" s="42"/>
    </row>
    <row r="194" spans="1:15" ht="16" thickBot="1" x14ac:dyDescent="0.4">
      <c r="A194" s="288"/>
      <c r="B194" s="121" t="s">
        <v>76</v>
      </c>
      <c r="C194" s="189">
        <v>74.47</v>
      </c>
      <c r="D194" s="117">
        <v>72.53</v>
      </c>
      <c r="E194" s="127">
        <v>72.53</v>
      </c>
      <c r="F194" s="189">
        <v>71.94</v>
      </c>
      <c r="G194" s="127">
        <v>63.92</v>
      </c>
      <c r="H194" s="117">
        <v>53.31</v>
      </c>
      <c r="I194" s="42"/>
      <c r="J194" s="43"/>
      <c r="K194" s="42"/>
      <c r="L194" s="42"/>
      <c r="M194" s="42"/>
      <c r="N194" s="42"/>
      <c r="O194" s="42"/>
    </row>
    <row r="195" spans="1:15" ht="31.5" thickTop="1" x14ac:dyDescent="0.35">
      <c r="A195" s="289">
        <v>27</v>
      </c>
      <c r="B195" s="59" t="s">
        <v>134</v>
      </c>
      <c r="C195" s="137"/>
      <c r="D195" s="139"/>
      <c r="E195" s="137"/>
      <c r="F195" s="137"/>
      <c r="G195" s="137"/>
      <c r="H195" s="139"/>
      <c r="I195" s="42"/>
      <c r="J195" s="43"/>
      <c r="K195" s="42"/>
      <c r="L195" s="42"/>
      <c r="M195" s="42"/>
      <c r="N195" s="42"/>
      <c r="O195" s="42"/>
    </row>
    <row r="196" spans="1:15" ht="16" thickBot="1" x14ac:dyDescent="0.4">
      <c r="A196" s="288"/>
      <c r="B196" s="121" t="s">
        <v>135</v>
      </c>
      <c r="C196" s="189">
        <v>13.96</v>
      </c>
      <c r="D196" s="117">
        <v>11.57</v>
      </c>
      <c r="E196" s="127">
        <v>9.9700000000000006</v>
      </c>
      <c r="F196" s="189">
        <v>9.82</v>
      </c>
      <c r="G196" s="127">
        <v>5.6</v>
      </c>
      <c r="H196" s="117">
        <v>0.17</v>
      </c>
      <c r="I196" s="42"/>
      <c r="J196" s="43"/>
      <c r="K196" s="42"/>
      <c r="L196" s="42"/>
      <c r="M196" s="42"/>
      <c r="N196" s="42"/>
      <c r="O196" s="42"/>
    </row>
    <row r="197" spans="1:15" ht="32" thickTop="1" thickBot="1" x14ac:dyDescent="0.4">
      <c r="A197" s="134">
        <v>28</v>
      </c>
      <c r="B197" s="121" t="s">
        <v>211</v>
      </c>
      <c r="C197" s="189">
        <v>4.28</v>
      </c>
      <c r="D197" s="117">
        <v>5.23</v>
      </c>
      <c r="E197" s="127">
        <v>5.81</v>
      </c>
      <c r="F197" s="189">
        <v>5.69</v>
      </c>
      <c r="G197" s="127">
        <v>7.13</v>
      </c>
      <c r="H197" s="117">
        <v>8.94</v>
      </c>
      <c r="I197" s="42"/>
      <c r="J197" s="43"/>
      <c r="K197" s="42"/>
      <c r="L197" s="42"/>
      <c r="M197" s="42"/>
      <c r="N197" s="42"/>
      <c r="O197" s="42"/>
    </row>
    <row r="198" spans="1:15" ht="31.5" thickTop="1" x14ac:dyDescent="0.35">
      <c r="A198" s="289">
        <v>29</v>
      </c>
      <c r="B198" s="59" t="s">
        <v>136</v>
      </c>
      <c r="C198" s="137"/>
      <c r="D198" s="139"/>
      <c r="E198" s="137"/>
      <c r="F198" s="137"/>
      <c r="G198" s="137"/>
      <c r="H198" s="139"/>
      <c r="I198" s="42"/>
      <c r="J198" s="43"/>
      <c r="K198" s="42"/>
      <c r="L198" s="42"/>
      <c r="M198" s="42"/>
      <c r="N198" s="42"/>
      <c r="O198" s="42"/>
    </row>
    <row r="199" spans="1:15" ht="31.5" thickBot="1" x14ac:dyDescent="0.4">
      <c r="A199" s="288"/>
      <c r="B199" s="121" t="s">
        <v>137</v>
      </c>
      <c r="C199" s="189">
        <v>60</v>
      </c>
      <c r="D199" s="117">
        <v>60</v>
      </c>
      <c r="E199" s="127">
        <v>60</v>
      </c>
      <c r="F199" s="189">
        <v>60</v>
      </c>
      <c r="G199" s="127">
        <v>60</v>
      </c>
      <c r="H199" s="117">
        <v>60</v>
      </c>
      <c r="I199" s="42"/>
      <c r="J199" s="43"/>
      <c r="K199" s="42"/>
      <c r="L199" s="42"/>
      <c r="M199" s="42"/>
      <c r="N199" s="42"/>
      <c r="O199" s="42"/>
    </row>
    <row r="200" spans="1:15" ht="31.5" thickTop="1" x14ac:dyDescent="0.35">
      <c r="A200" s="289">
        <v>30</v>
      </c>
      <c r="B200" s="59" t="s">
        <v>129</v>
      </c>
      <c r="C200" s="412">
        <v>146.1</v>
      </c>
      <c r="D200" s="139"/>
      <c r="E200" s="137"/>
      <c r="F200" s="137"/>
      <c r="G200" s="137"/>
      <c r="H200" s="139"/>
      <c r="I200" s="42"/>
      <c r="J200" s="43"/>
      <c r="K200" s="42"/>
      <c r="L200" s="42"/>
      <c r="M200" s="42"/>
      <c r="N200" s="42"/>
      <c r="O200" s="42"/>
    </row>
    <row r="201" spans="1:15" ht="31.5" thickBot="1" x14ac:dyDescent="0.4">
      <c r="A201" s="288"/>
      <c r="B201" s="121" t="s">
        <v>212</v>
      </c>
      <c r="C201" s="413"/>
      <c r="D201" s="117">
        <v>146.80000000000001</v>
      </c>
      <c r="E201" s="127">
        <v>148</v>
      </c>
      <c r="F201" s="189">
        <v>147.6</v>
      </c>
      <c r="G201" s="127">
        <v>146.1</v>
      </c>
      <c r="H201" s="117">
        <v>143.9</v>
      </c>
      <c r="I201" s="42"/>
      <c r="J201" s="43"/>
      <c r="K201" s="42"/>
      <c r="L201" s="42"/>
      <c r="M201" s="42"/>
      <c r="N201" s="42"/>
      <c r="O201" s="42"/>
    </row>
    <row r="202" spans="1:15" ht="32" thickTop="1" thickBot="1" x14ac:dyDescent="0.4">
      <c r="A202" s="134">
        <v>31</v>
      </c>
      <c r="B202" s="121" t="s">
        <v>139</v>
      </c>
      <c r="C202" s="189">
        <v>166.2</v>
      </c>
      <c r="D202" s="117">
        <v>166.2</v>
      </c>
      <c r="E202" s="127">
        <v>166.3</v>
      </c>
      <c r="F202" s="189">
        <v>166.3</v>
      </c>
      <c r="G202" s="127">
        <v>166.2</v>
      </c>
      <c r="H202" s="117">
        <v>166.2</v>
      </c>
      <c r="I202" s="42"/>
      <c r="J202" s="43"/>
      <c r="K202" s="42"/>
      <c r="L202" s="42"/>
      <c r="M202" s="42"/>
      <c r="N202" s="42"/>
      <c r="O202" s="42"/>
    </row>
    <row r="203" spans="1:15" ht="32" thickTop="1" thickBot="1" x14ac:dyDescent="0.4">
      <c r="A203" s="135">
        <v>32</v>
      </c>
      <c r="B203" s="123" t="s">
        <v>83</v>
      </c>
      <c r="C203" s="192">
        <v>285.10000000000002</v>
      </c>
      <c r="D203" s="125">
        <v>286.2</v>
      </c>
      <c r="E203" s="124">
        <v>288.60000000000002</v>
      </c>
      <c r="F203" s="192">
        <v>288.10000000000002</v>
      </c>
      <c r="G203" s="124">
        <v>285.8</v>
      </c>
      <c r="H203" s="125">
        <v>282.39999999999998</v>
      </c>
      <c r="I203" s="42"/>
      <c r="J203" s="43"/>
      <c r="K203" s="42"/>
      <c r="L203" s="42"/>
      <c r="M203" s="42"/>
      <c r="N203" s="42"/>
      <c r="O203" s="42"/>
    </row>
    <row r="204" spans="1:15" ht="31.5" thickBot="1" x14ac:dyDescent="0.4">
      <c r="A204" s="134">
        <v>33</v>
      </c>
      <c r="B204" s="121" t="s">
        <v>84</v>
      </c>
      <c r="C204" s="189">
        <v>7.0529999999999999</v>
      </c>
      <c r="D204" s="117">
        <v>7.2409999999999997</v>
      </c>
      <c r="E204" s="127">
        <v>7.5389999999999997</v>
      </c>
      <c r="F204" s="189">
        <v>7.5</v>
      </c>
      <c r="G204" s="127">
        <v>7.3150000000000004</v>
      </c>
      <c r="H204" s="117">
        <v>7.0839999999999996</v>
      </c>
      <c r="I204" s="42"/>
      <c r="J204" s="43"/>
      <c r="K204" s="42"/>
      <c r="L204" s="42"/>
      <c r="M204" s="42"/>
      <c r="N204" s="42"/>
      <c r="O204" s="42"/>
    </row>
    <row r="205" spans="1:15" ht="32" thickTop="1" thickBot="1" x14ac:dyDescent="0.4">
      <c r="A205" s="134">
        <v>34</v>
      </c>
      <c r="B205" s="121" t="s">
        <v>85</v>
      </c>
      <c r="C205" s="189">
        <v>0.55900000000000005</v>
      </c>
      <c r="D205" s="117">
        <v>0.56899999999999995</v>
      </c>
      <c r="E205" s="127">
        <v>0.58599999999999997</v>
      </c>
      <c r="F205" s="189">
        <v>0.58099999999999996</v>
      </c>
      <c r="G205" s="127">
        <v>0.55900000000000005</v>
      </c>
      <c r="H205" s="117">
        <v>0.52700000000000002</v>
      </c>
      <c r="I205" s="42"/>
      <c r="J205" s="43"/>
      <c r="K205" s="42"/>
      <c r="L205" s="42"/>
      <c r="M205" s="42"/>
      <c r="N205" s="42"/>
      <c r="O205" s="42"/>
    </row>
    <row r="206" spans="1:15" ht="15" thickTop="1" x14ac:dyDescent="0.35">
      <c r="A206" s="42"/>
      <c r="B206" s="42"/>
      <c r="C206" s="42"/>
      <c r="D206" s="42"/>
      <c r="E206" s="42"/>
      <c r="F206" s="42"/>
      <c r="G206" s="42"/>
      <c r="H206" s="42"/>
      <c r="I206" s="42"/>
      <c r="J206" s="43"/>
      <c r="K206" s="42"/>
      <c r="L206" s="42"/>
      <c r="M206" s="42"/>
      <c r="N206" s="42"/>
      <c r="O206" s="42"/>
    </row>
    <row r="207" spans="1:15" ht="16.5" thickBot="1" x14ac:dyDescent="0.4">
      <c r="A207" s="204" t="s">
        <v>200</v>
      </c>
      <c r="B207" s="42"/>
      <c r="C207" s="42"/>
      <c r="D207" s="42"/>
      <c r="E207" s="42"/>
      <c r="F207" s="42"/>
      <c r="G207" s="42"/>
      <c r="H207" s="42"/>
      <c r="I207" s="42"/>
      <c r="J207" s="43"/>
      <c r="K207" s="42"/>
      <c r="L207" s="42"/>
      <c r="M207" s="42"/>
      <c r="N207" s="42"/>
      <c r="O207" s="42"/>
    </row>
    <row r="208" spans="1:15" ht="16.5" thickTop="1" thickBot="1" x14ac:dyDescent="0.4">
      <c r="A208" s="311" t="s">
        <v>86</v>
      </c>
      <c r="B208" s="312"/>
      <c r="C208" s="312"/>
      <c r="D208" s="312"/>
      <c r="E208" s="312"/>
      <c r="F208" s="312"/>
      <c r="G208" s="312"/>
      <c r="H208" s="313"/>
      <c r="I208" s="42"/>
      <c r="J208" s="43"/>
      <c r="K208" s="42"/>
      <c r="L208" s="42"/>
      <c r="M208" s="42"/>
      <c r="N208" s="42"/>
      <c r="O208" s="42"/>
    </row>
    <row r="209" spans="1:15" ht="17" thickTop="1" thickBot="1" x14ac:dyDescent="0.4">
      <c r="A209" s="156">
        <v>35</v>
      </c>
      <c r="B209" s="150" t="s">
        <v>87</v>
      </c>
      <c r="C209" s="205">
        <v>127.3</v>
      </c>
      <c r="D209" s="152">
        <v>127.3</v>
      </c>
      <c r="E209" s="151">
        <v>127.3</v>
      </c>
      <c r="F209" s="205">
        <v>123.6</v>
      </c>
      <c r="G209" s="151">
        <v>111.9</v>
      </c>
      <c r="H209" s="152">
        <v>96.9</v>
      </c>
      <c r="I209" s="42"/>
      <c r="J209" s="43"/>
      <c r="K209" s="42"/>
      <c r="L209" s="42"/>
      <c r="M209" s="42"/>
      <c r="N209" s="42"/>
      <c r="O209" s="42"/>
    </row>
    <row r="210" spans="1:15" ht="17" thickTop="1" thickBot="1" x14ac:dyDescent="0.4">
      <c r="A210" s="156">
        <v>36</v>
      </c>
      <c r="B210" s="150" t="s">
        <v>88</v>
      </c>
      <c r="C210" s="205">
        <v>62.12</v>
      </c>
      <c r="D210" s="152">
        <v>62.8</v>
      </c>
      <c r="E210" s="151">
        <v>64.650000000000006</v>
      </c>
      <c r="F210" s="206">
        <v>63.71</v>
      </c>
      <c r="G210" s="151">
        <v>60.84</v>
      </c>
      <c r="H210" s="152">
        <v>56.36</v>
      </c>
      <c r="I210" s="42"/>
      <c r="J210" s="43"/>
      <c r="K210" s="42"/>
      <c r="L210" s="42"/>
      <c r="M210" s="42"/>
      <c r="N210" s="42"/>
      <c r="O210" s="42"/>
    </row>
    <row r="211" spans="1:15" ht="33" thickTop="1" thickBot="1" x14ac:dyDescent="0.4">
      <c r="A211" s="156">
        <v>37</v>
      </c>
      <c r="B211" s="150" t="s">
        <v>89</v>
      </c>
      <c r="C211" s="205">
        <v>189.42</v>
      </c>
      <c r="D211" s="152">
        <v>190.1</v>
      </c>
      <c r="E211" s="151">
        <v>191.95</v>
      </c>
      <c r="F211" s="205">
        <v>187.31</v>
      </c>
      <c r="G211" s="151">
        <v>172.7</v>
      </c>
      <c r="H211" s="152">
        <v>153.30000000000001</v>
      </c>
      <c r="I211" s="42"/>
      <c r="J211" s="43"/>
      <c r="K211" s="42"/>
      <c r="L211" s="42"/>
      <c r="M211" s="42"/>
      <c r="N211" s="42"/>
      <c r="O211" s="42"/>
    </row>
    <row r="212" spans="1:15" ht="33" thickTop="1" thickBot="1" x14ac:dyDescent="0.4">
      <c r="A212" s="305">
        <v>38</v>
      </c>
      <c r="B212" s="150" t="s">
        <v>140</v>
      </c>
      <c r="C212" s="151">
        <v>0</v>
      </c>
      <c r="D212" s="152">
        <v>0</v>
      </c>
      <c r="E212" s="151">
        <v>0</v>
      </c>
      <c r="F212" s="151">
        <v>0</v>
      </c>
      <c r="G212" s="151">
        <v>0</v>
      </c>
      <c r="H212" s="152">
        <v>0</v>
      </c>
      <c r="I212" s="42"/>
      <c r="J212" s="43"/>
      <c r="K212" s="42"/>
      <c r="L212" s="42"/>
      <c r="M212" s="42"/>
      <c r="N212" s="42"/>
      <c r="O212" s="42"/>
    </row>
    <row r="213" spans="1:15" ht="17" thickTop="1" thickBot="1" x14ac:dyDescent="0.4">
      <c r="A213" s="307"/>
      <c r="B213" s="157" t="s">
        <v>91</v>
      </c>
      <c r="C213" s="151">
        <v>0</v>
      </c>
      <c r="D213" s="152">
        <v>0</v>
      </c>
      <c r="E213" s="151">
        <v>0</v>
      </c>
      <c r="F213" s="151">
        <v>0</v>
      </c>
      <c r="G213" s="151">
        <v>0</v>
      </c>
      <c r="H213" s="152">
        <v>0</v>
      </c>
      <c r="I213" s="42"/>
      <c r="J213" s="43"/>
      <c r="K213" s="42"/>
      <c r="L213" s="42"/>
      <c r="M213" s="42"/>
      <c r="N213" s="42"/>
      <c r="O213" s="42"/>
    </row>
    <row r="214" spans="1:15" ht="33" thickTop="1" thickBot="1" x14ac:dyDescent="0.4">
      <c r="A214" s="305">
        <v>39</v>
      </c>
      <c r="B214" s="150" t="s">
        <v>141</v>
      </c>
      <c r="C214" s="151">
        <v>0</v>
      </c>
      <c r="D214" s="152">
        <v>0</v>
      </c>
      <c r="E214" s="151">
        <v>0</v>
      </c>
      <c r="F214" s="151">
        <v>0</v>
      </c>
      <c r="G214" s="151">
        <v>0</v>
      </c>
      <c r="H214" s="152">
        <v>0</v>
      </c>
      <c r="I214" s="42"/>
      <c r="J214" s="43"/>
      <c r="K214" s="42"/>
      <c r="L214" s="42"/>
      <c r="M214" s="42"/>
      <c r="N214" s="42"/>
      <c r="O214" s="42"/>
    </row>
    <row r="215" spans="1:15" ht="17" thickTop="1" thickBot="1" x14ac:dyDescent="0.4">
      <c r="A215" s="307"/>
      <c r="B215" s="157" t="s">
        <v>91</v>
      </c>
      <c r="C215" s="151">
        <v>0</v>
      </c>
      <c r="D215" s="152">
        <v>0</v>
      </c>
      <c r="E215" s="151">
        <v>0</v>
      </c>
      <c r="F215" s="151">
        <v>0</v>
      </c>
      <c r="G215" s="151">
        <v>0</v>
      </c>
      <c r="H215" s="152">
        <v>0</v>
      </c>
      <c r="I215" s="42"/>
      <c r="J215" s="43"/>
      <c r="K215" s="42"/>
      <c r="L215" s="42"/>
      <c r="M215" s="42"/>
      <c r="N215" s="42"/>
      <c r="O215" s="42"/>
    </row>
    <row r="216" spans="1:15" ht="33" thickTop="1" thickBot="1" x14ac:dyDescent="0.4">
      <c r="A216" s="305">
        <v>40</v>
      </c>
      <c r="B216" s="150" t="s">
        <v>142</v>
      </c>
      <c r="C216" s="151">
        <v>0</v>
      </c>
      <c r="D216" s="152">
        <v>0</v>
      </c>
      <c r="E216" s="151">
        <v>0</v>
      </c>
      <c r="F216" s="151">
        <v>0</v>
      </c>
      <c r="G216" s="151">
        <v>0</v>
      </c>
      <c r="H216" s="152">
        <v>0</v>
      </c>
      <c r="I216" s="42"/>
      <c r="J216" s="43"/>
      <c r="K216" s="42"/>
      <c r="L216" s="42"/>
      <c r="M216" s="42"/>
      <c r="N216" s="42"/>
      <c r="O216" s="42"/>
    </row>
    <row r="217" spans="1:15" ht="17" thickTop="1" thickBot="1" x14ac:dyDescent="0.4">
      <c r="A217" s="307"/>
      <c r="B217" s="157" t="s">
        <v>91</v>
      </c>
      <c r="C217" s="151">
        <v>0</v>
      </c>
      <c r="D217" s="152">
        <v>0</v>
      </c>
      <c r="E217" s="151">
        <v>0</v>
      </c>
      <c r="F217" s="151">
        <v>0</v>
      </c>
      <c r="G217" s="151">
        <v>0</v>
      </c>
      <c r="H217" s="152">
        <v>0</v>
      </c>
      <c r="I217" s="42"/>
      <c r="J217" s="43"/>
      <c r="K217" s="42"/>
      <c r="L217" s="42"/>
      <c r="M217" s="42"/>
      <c r="N217" s="42"/>
      <c r="O217" s="42"/>
    </row>
    <row r="218" spans="1:15" ht="33" thickTop="1" thickBot="1" x14ac:dyDescent="0.4">
      <c r="A218" s="305">
        <v>41</v>
      </c>
      <c r="B218" s="150" t="s">
        <v>143</v>
      </c>
      <c r="C218" s="151">
        <v>0</v>
      </c>
      <c r="D218" s="152">
        <v>0</v>
      </c>
      <c r="E218" s="151">
        <v>0</v>
      </c>
      <c r="F218" s="151">
        <v>0</v>
      </c>
      <c r="G218" s="151">
        <v>0</v>
      </c>
      <c r="H218" s="152">
        <v>0</v>
      </c>
      <c r="I218" s="42"/>
      <c r="J218" s="43"/>
      <c r="K218" s="42"/>
      <c r="L218" s="42"/>
      <c r="M218" s="42"/>
      <c r="N218" s="42"/>
      <c r="O218" s="42"/>
    </row>
    <row r="219" spans="1:15" ht="17" thickTop="1" thickBot="1" x14ac:dyDescent="0.4">
      <c r="A219" s="307"/>
      <c r="B219" s="157" t="s">
        <v>91</v>
      </c>
      <c r="C219" s="151">
        <v>0</v>
      </c>
      <c r="D219" s="152">
        <v>0</v>
      </c>
      <c r="E219" s="151">
        <v>0</v>
      </c>
      <c r="F219" s="151">
        <v>0</v>
      </c>
      <c r="G219" s="151">
        <v>0</v>
      </c>
      <c r="H219" s="152">
        <v>0</v>
      </c>
      <c r="I219" s="42"/>
      <c r="J219" s="43"/>
      <c r="K219" s="42"/>
      <c r="L219" s="42"/>
      <c r="M219" s="42"/>
      <c r="N219" s="42"/>
      <c r="O219" s="42"/>
    </row>
    <row r="220" spans="1:15" ht="33" thickTop="1" thickBot="1" x14ac:dyDescent="0.4">
      <c r="A220" s="305">
        <v>42</v>
      </c>
      <c r="B220" s="150" t="s">
        <v>144</v>
      </c>
      <c r="C220" s="151">
        <v>0</v>
      </c>
      <c r="D220" s="152">
        <v>0</v>
      </c>
      <c r="E220" s="151">
        <v>0</v>
      </c>
      <c r="F220" s="151">
        <v>0</v>
      </c>
      <c r="G220" s="151">
        <v>0</v>
      </c>
      <c r="H220" s="152">
        <v>0</v>
      </c>
      <c r="I220" s="42"/>
      <c r="J220" s="43"/>
      <c r="K220" s="42"/>
      <c r="L220" s="42"/>
      <c r="M220" s="42"/>
      <c r="N220" s="42"/>
      <c r="O220" s="42"/>
    </row>
    <row r="221" spans="1:15" ht="17" thickTop="1" thickBot="1" x14ac:dyDescent="0.4">
      <c r="A221" s="307"/>
      <c r="B221" s="157" t="s">
        <v>90</v>
      </c>
      <c r="C221" s="151">
        <v>0</v>
      </c>
      <c r="D221" s="152">
        <v>0</v>
      </c>
      <c r="E221" s="151">
        <v>0</v>
      </c>
      <c r="F221" s="151">
        <v>0</v>
      </c>
      <c r="G221" s="151">
        <v>0</v>
      </c>
      <c r="H221" s="152">
        <v>0</v>
      </c>
      <c r="I221" s="42"/>
      <c r="J221" s="43"/>
      <c r="K221" s="42"/>
      <c r="L221" s="42"/>
      <c r="M221" s="42"/>
      <c r="N221" s="42"/>
      <c r="O221" s="42"/>
    </row>
    <row r="222" spans="1:15" ht="32.5" thickTop="1" x14ac:dyDescent="0.35">
      <c r="A222" s="161"/>
      <c r="B222" s="99" t="s">
        <v>145</v>
      </c>
      <c r="C222" s="137"/>
      <c r="D222" s="139"/>
      <c r="E222" s="137"/>
      <c r="F222" s="137"/>
      <c r="G222" s="137"/>
      <c r="H222" s="139"/>
      <c r="I222" s="42"/>
      <c r="J222" s="43"/>
      <c r="K222" s="42"/>
      <c r="L222" s="42"/>
      <c r="M222" s="42"/>
      <c r="N222" s="42"/>
      <c r="O222" s="42"/>
    </row>
    <row r="223" spans="1:15" ht="16.5" thickBot="1" x14ac:dyDescent="0.4">
      <c r="A223" s="156">
        <v>43</v>
      </c>
      <c r="B223" s="150" t="s">
        <v>146</v>
      </c>
      <c r="C223" s="205">
        <v>48.53</v>
      </c>
      <c r="D223" s="152">
        <v>48.53</v>
      </c>
      <c r="E223" s="151">
        <v>48.65</v>
      </c>
      <c r="F223" s="206">
        <v>47.51</v>
      </c>
      <c r="G223" s="151">
        <v>43.95</v>
      </c>
      <c r="H223" s="152">
        <v>39.61</v>
      </c>
      <c r="I223" s="42"/>
      <c r="J223" s="43"/>
      <c r="K223" s="42"/>
      <c r="L223" s="42"/>
      <c r="M223" s="42"/>
      <c r="N223" s="42"/>
      <c r="O223" s="42"/>
    </row>
    <row r="224" spans="1:15" ht="32.5" thickTop="1" x14ac:dyDescent="0.35">
      <c r="A224" s="298">
        <v>44</v>
      </c>
      <c r="B224" s="99" t="s">
        <v>94</v>
      </c>
      <c r="C224" s="137"/>
      <c r="D224" s="139"/>
      <c r="E224" s="137"/>
      <c r="F224" s="137"/>
      <c r="G224" s="137"/>
      <c r="H224" s="139"/>
      <c r="I224" s="42"/>
      <c r="J224" s="43"/>
      <c r="K224" s="42"/>
      <c r="L224" s="42"/>
      <c r="M224" s="42"/>
      <c r="N224" s="42"/>
      <c r="O224" s="42"/>
    </row>
    <row r="225" spans="1:15" ht="32.5" thickBot="1" x14ac:dyDescent="0.4">
      <c r="A225" s="299"/>
      <c r="B225" s="150" t="s">
        <v>95</v>
      </c>
      <c r="C225" s="206">
        <v>150</v>
      </c>
      <c r="D225" s="152">
        <v>150</v>
      </c>
      <c r="E225" s="151">
        <v>150</v>
      </c>
      <c r="F225" s="206">
        <v>150</v>
      </c>
      <c r="G225" s="151">
        <v>150</v>
      </c>
      <c r="H225" s="152">
        <v>150</v>
      </c>
      <c r="I225" s="42"/>
      <c r="J225" s="43"/>
      <c r="K225" s="42"/>
      <c r="L225" s="42"/>
      <c r="M225" s="42"/>
      <c r="N225" s="42"/>
      <c r="O225" s="42"/>
    </row>
    <row r="226" spans="1:15" ht="32.5" thickTop="1" x14ac:dyDescent="0.35">
      <c r="A226" s="298">
        <v>45</v>
      </c>
      <c r="B226" s="99" t="s">
        <v>147</v>
      </c>
      <c r="C226" s="137"/>
      <c r="D226" s="139"/>
      <c r="E226" s="137"/>
      <c r="F226" s="137"/>
      <c r="G226" s="137"/>
      <c r="H226" s="139"/>
      <c r="I226" s="42"/>
      <c r="J226" s="43"/>
      <c r="K226" s="42"/>
      <c r="L226" s="42"/>
      <c r="M226" s="42"/>
      <c r="N226" s="42"/>
      <c r="O226" s="42"/>
    </row>
    <row r="227" spans="1:15" ht="16.5" thickBot="1" x14ac:dyDescent="0.4">
      <c r="A227" s="299"/>
      <c r="B227" s="150" t="s">
        <v>97</v>
      </c>
      <c r="C227" s="151">
        <v>0</v>
      </c>
      <c r="D227" s="152">
        <v>0</v>
      </c>
      <c r="E227" s="151">
        <v>0</v>
      </c>
      <c r="F227" s="151">
        <v>0</v>
      </c>
      <c r="G227" s="151">
        <v>0</v>
      </c>
      <c r="H227" s="152">
        <v>0</v>
      </c>
      <c r="I227" s="42"/>
      <c r="J227" s="43"/>
      <c r="K227" s="42"/>
      <c r="L227" s="42"/>
      <c r="M227" s="42"/>
      <c r="N227" s="42"/>
      <c r="O227" s="42"/>
    </row>
    <row r="228" spans="1:15" ht="32.5" thickTop="1" x14ac:dyDescent="0.35">
      <c r="A228" s="298">
        <v>46</v>
      </c>
      <c r="B228" s="99" t="s">
        <v>147</v>
      </c>
      <c r="C228" s="137"/>
      <c r="D228" s="139"/>
      <c r="E228" s="137"/>
      <c r="F228" s="137"/>
      <c r="G228" s="137"/>
      <c r="H228" s="139"/>
      <c r="I228" s="42"/>
      <c r="J228" s="43"/>
      <c r="K228" s="42"/>
      <c r="L228" s="42"/>
      <c r="M228" s="42"/>
      <c r="N228" s="42"/>
      <c r="O228" s="42"/>
    </row>
    <row r="229" spans="1:15" ht="16.5" thickBot="1" x14ac:dyDescent="0.4">
      <c r="A229" s="299"/>
      <c r="B229" s="150" t="s">
        <v>98</v>
      </c>
      <c r="C229" s="205">
        <v>48.53</v>
      </c>
      <c r="D229" s="152">
        <v>48.53</v>
      </c>
      <c r="E229" s="151">
        <v>48.65</v>
      </c>
      <c r="F229" s="206">
        <v>47.51</v>
      </c>
      <c r="G229" s="151">
        <v>43.95</v>
      </c>
      <c r="H229" s="152">
        <v>39.61</v>
      </c>
      <c r="I229" s="42"/>
      <c r="J229" s="43"/>
      <c r="K229" s="42"/>
      <c r="L229" s="42"/>
      <c r="M229" s="42"/>
      <c r="N229" s="42"/>
      <c r="O229" s="42"/>
    </row>
    <row r="230" spans="1:15" ht="18.5" thickTop="1" x14ac:dyDescent="0.35">
      <c r="A230" s="298">
        <v>47</v>
      </c>
      <c r="B230" s="59"/>
      <c r="C230" s="145"/>
      <c r="D230" s="146"/>
      <c r="E230" s="145"/>
      <c r="F230" s="145"/>
      <c r="G230" s="145"/>
      <c r="H230" s="146"/>
      <c r="I230" s="42"/>
      <c r="J230" s="43"/>
      <c r="K230" s="42"/>
      <c r="L230" s="42"/>
      <c r="M230" s="42"/>
      <c r="N230" s="42"/>
      <c r="O230" s="42"/>
    </row>
    <row r="231" spans="1:15" ht="80" x14ac:dyDescent="0.35">
      <c r="A231" s="408"/>
      <c r="B231" s="99" t="s">
        <v>148</v>
      </c>
      <c r="C231" s="97"/>
      <c r="D231" s="139"/>
      <c r="E231" s="137"/>
      <c r="F231" s="137"/>
      <c r="G231" s="137"/>
      <c r="H231" s="139"/>
      <c r="I231" s="42"/>
      <c r="J231" s="43"/>
      <c r="K231" s="42"/>
      <c r="L231" s="42"/>
      <c r="M231" s="42"/>
      <c r="N231" s="42"/>
      <c r="O231" s="42"/>
    </row>
    <row r="232" spans="1:15" ht="16.5" thickBot="1" x14ac:dyDescent="0.4">
      <c r="A232" s="299"/>
      <c r="B232" s="147"/>
      <c r="C232" s="205">
        <v>256.2</v>
      </c>
      <c r="D232" s="152">
        <v>255.3</v>
      </c>
      <c r="E232" s="151">
        <v>253.5</v>
      </c>
      <c r="F232" s="206">
        <v>253.6</v>
      </c>
      <c r="G232" s="151">
        <v>254.5</v>
      </c>
      <c r="H232" s="152">
        <v>258.39999999999998</v>
      </c>
      <c r="I232" s="42"/>
      <c r="J232" s="43"/>
      <c r="K232" s="42"/>
      <c r="L232" s="42"/>
      <c r="M232" s="42"/>
      <c r="N232" s="42"/>
      <c r="O232" s="42"/>
    </row>
    <row r="233" spans="1:15" ht="33" thickTop="1" thickBot="1" x14ac:dyDescent="0.4">
      <c r="A233" s="156">
        <v>48</v>
      </c>
      <c r="B233" s="150" t="s">
        <v>149</v>
      </c>
      <c r="C233" s="205">
        <v>47.95</v>
      </c>
      <c r="D233" s="152">
        <v>48.12</v>
      </c>
      <c r="E233" s="151">
        <v>48.47</v>
      </c>
      <c r="F233" s="206">
        <v>48.43</v>
      </c>
      <c r="G233" s="151">
        <v>48.27</v>
      </c>
      <c r="H233" s="152">
        <v>47.55</v>
      </c>
      <c r="I233" s="42"/>
      <c r="J233" s="43"/>
      <c r="K233" s="42"/>
      <c r="L233" s="42"/>
      <c r="M233" s="42"/>
      <c r="N233" s="42"/>
      <c r="O233" s="42"/>
    </row>
    <row r="234" spans="1:15" ht="33" thickTop="1" thickBot="1" x14ac:dyDescent="0.4">
      <c r="A234" s="156">
        <v>49</v>
      </c>
      <c r="B234" s="150" t="s">
        <v>150</v>
      </c>
      <c r="C234" s="206">
        <v>1</v>
      </c>
      <c r="D234" s="152">
        <v>1</v>
      </c>
      <c r="E234" s="151">
        <v>1</v>
      </c>
      <c r="F234" s="206">
        <v>1</v>
      </c>
      <c r="G234" s="151">
        <v>1</v>
      </c>
      <c r="H234" s="152">
        <v>1</v>
      </c>
      <c r="I234" s="42"/>
      <c r="J234" s="43"/>
      <c r="K234" s="42"/>
      <c r="L234" s="42"/>
      <c r="M234" s="42"/>
      <c r="N234" s="42"/>
      <c r="O234" s="42"/>
    </row>
    <row r="235" spans="1:15" ht="15" thickTop="1" x14ac:dyDescent="0.35">
      <c r="A235" s="42"/>
      <c r="B235" s="42"/>
      <c r="C235" s="42"/>
      <c r="D235" s="42"/>
      <c r="E235" s="42"/>
      <c r="F235" s="42"/>
      <c r="G235" s="42"/>
      <c r="H235" s="42"/>
      <c r="I235" s="42"/>
      <c r="J235" s="43"/>
      <c r="K235" s="42"/>
      <c r="L235" s="42"/>
      <c r="M235" s="42"/>
      <c r="N235" s="42"/>
      <c r="O235" s="42"/>
    </row>
    <row r="236" spans="1:15" ht="15" x14ac:dyDescent="0.35">
      <c r="A236" s="113" t="s">
        <v>102</v>
      </c>
      <c r="B236" s="42"/>
      <c r="C236" s="42"/>
      <c r="D236" s="42"/>
      <c r="E236" s="42"/>
      <c r="F236" s="42"/>
      <c r="G236" s="42"/>
      <c r="H236" s="42"/>
      <c r="I236" s="42"/>
      <c r="J236" s="43"/>
      <c r="K236" s="42"/>
      <c r="L236" s="42"/>
      <c r="M236" s="42"/>
      <c r="N236" s="42"/>
      <c r="O236" s="42"/>
    </row>
    <row r="237" spans="1:15" ht="15" x14ac:dyDescent="0.35">
      <c r="A237" s="113" t="s">
        <v>213</v>
      </c>
      <c r="B237" s="42"/>
      <c r="C237" s="42"/>
      <c r="D237" s="42"/>
      <c r="E237" s="42"/>
      <c r="F237" s="42"/>
      <c r="G237" s="42"/>
      <c r="H237" s="42"/>
      <c r="I237" s="42"/>
      <c r="J237" s="43"/>
      <c r="K237" s="42"/>
      <c r="L237" s="42"/>
      <c r="M237" s="42"/>
      <c r="N237" s="42"/>
      <c r="O237" s="42"/>
    </row>
    <row r="238" spans="1:15" ht="16" thickBot="1" x14ac:dyDescent="0.4">
      <c r="A238" s="114" t="s">
        <v>214</v>
      </c>
      <c r="B238" s="42"/>
      <c r="C238" s="42"/>
      <c r="D238" s="42"/>
      <c r="E238" s="42"/>
      <c r="F238" s="42"/>
      <c r="G238" s="42"/>
      <c r="H238" s="42"/>
      <c r="I238" s="42"/>
      <c r="J238" s="43"/>
      <c r="K238" s="42"/>
      <c r="L238" s="42"/>
      <c r="M238" s="42"/>
      <c r="N238" s="42"/>
      <c r="O238" s="42"/>
    </row>
    <row r="239" spans="1:15" ht="16.5" thickTop="1" thickBot="1" x14ac:dyDescent="0.4">
      <c r="A239" s="295" t="s">
        <v>0</v>
      </c>
      <c r="B239" s="289" t="s">
        <v>1</v>
      </c>
      <c r="C239" s="409" t="s">
        <v>107</v>
      </c>
      <c r="D239" s="410"/>
      <c r="E239" s="410"/>
      <c r="F239" s="410"/>
      <c r="G239" s="410"/>
      <c r="H239" s="411"/>
      <c r="I239" s="42"/>
      <c r="J239" s="43"/>
      <c r="K239" s="42"/>
      <c r="L239" s="42"/>
      <c r="M239" s="42"/>
      <c r="N239" s="42"/>
      <c r="O239" s="42"/>
    </row>
    <row r="240" spans="1:15" ht="16.5" thickTop="1" thickBot="1" x14ac:dyDescent="0.4">
      <c r="A240" s="314"/>
      <c r="B240" s="291"/>
      <c r="C240" s="117">
        <v>-40</v>
      </c>
      <c r="D240" s="117">
        <v>-28</v>
      </c>
      <c r="E240" s="118">
        <v>-10.199999999999999</v>
      </c>
      <c r="F240" s="117">
        <v>-3.1</v>
      </c>
      <c r="G240" s="117">
        <v>15</v>
      </c>
      <c r="H240" s="117">
        <v>37</v>
      </c>
      <c r="I240" s="42"/>
      <c r="J240" s="43"/>
      <c r="K240" s="42"/>
      <c r="L240" s="42"/>
      <c r="M240" s="42"/>
      <c r="N240" s="42"/>
      <c r="O240" s="42"/>
    </row>
    <row r="241" spans="1:15" ht="15.5" thickTop="1" thickBot="1" x14ac:dyDescent="0.4">
      <c r="A241" s="294"/>
      <c r="B241" s="288"/>
      <c r="C241" s="308"/>
      <c r="D241" s="309"/>
      <c r="E241" s="309"/>
      <c r="F241" s="309"/>
      <c r="G241" s="310"/>
      <c r="H241" s="174" t="s">
        <v>215</v>
      </c>
      <c r="I241" s="42"/>
      <c r="J241" s="43"/>
      <c r="K241" s="42"/>
      <c r="L241" s="42"/>
      <c r="M241" s="42"/>
      <c r="N241" s="42"/>
      <c r="O241" s="42"/>
    </row>
    <row r="242" spans="1:15" ht="16.5" thickTop="1" thickBot="1" x14ac:dyDescent="0.4">
      <c r="A242" s="203"/>
      <c r="B242" s="117" t="s">
        <v>3</v>
      </c>
      <c r="C242" s="405" t="s">
        <v>165</v>
      </c>
      <c r="D242" s="406"/>
      <c r="E242" s="406"/>
      <c r="F242" s="406"/>
      <c r="G242" s="406"/>
      <c r="H242" s="407"/>
      <c r="I242" s="42"/>
      <c r="J242" s="43"/>
      <c r="K242" s="42"/>
      <c r="L242" s="42"/>
      <c r="M242" s="42"/>
      <c r="N242" s="42"/>
      <c r="O242" s="42"/>
    </row>
    <row r="243" spans="1:15" ht="16" thickTop="1" thickBot="1" x14ac:dyDescent="0.4">
      <c r="A243" s="302" t="s">
        <v>8</v>
      </c>
      <c r="B243" s="303"/>
      <c r="C243" s="303"/>
      <c r="D243" s="303"/>
      <c r="E243" s="303"/>
      <c r="F243" s="303"/>
      <c r="G243" s="303"/>
      <c r="H243" s="304"/>
      <c r="I243" s="42"/>
      <c r="J243" s="43"/>
      <c r="K243" s="42"/>
      <c r="L243" s="42"/>
      <c r="M243" s="42"/>
      <c r="N243" s="42"/>
      <c r="O243" s="42"/>
    </row>
    <row r="244" spans="1:15" ht="32" thickTop="1" thickBot="1" x14ac:dyDescent="0.4">
      <c r="A244" s="120">
        <v>1</v>
      </c>
      <c r="B244" s="121" t="s">
        <v>9</v>
      </c>
      <c r="C244" s="327">
        <v>50</v>
      </c>
      <c r="D244" s="328"/>
      <c r="E244" s="328"/>
      <c r="F244" s="328"/>
      <c r="G244" s="328"/>
      <c r="H244" s="329"/>
      <c r="I244" s="42"/>
      <c r="J244" s="43"/>
      <c r="K244" s="42"/>
      <c r="L244" s="42"/>
      <c r="M244" s="42"/>
      <c r="N244" s="42"/>
      <c r="O244" s="42"/>
    </row>
    <row r="245" spans="1:15" ht="16.5" thickTop="1" thickBot="1" x14ac:dyDescent="0.4">
      <c r="A245" s="122">
        <v>2</v>
      </c>
      <c r="B245" s="123" t="s">
        <v>10</v>
      </c>
      <c r="C245" s="125">
        <v>84.5</v>
      </c>
      <c r="D245" s="125">
        <v>84.5</v>
      </c>
      <c r="E245" s="131">
        <v>84.5</v>
      </c>
      <c r="F245" s="125">
        <v>82.6</v>
      </c>
      <c r="G245" s="125">
        <v>74.7</v>
      </c>
      <c r="H245" s="125">
        <v>64.5</v>
      </c>
      <c r="I245" s="42"/>
      <c r="J245" s="43"/>
      <c r="K245" s="42"/>
      <c r="L245" s="42"/>
      <c r="M245" s="42"/>
      <c r="N245" s="42"/>
      <c r="O245" s="42"/>
    </row>
    <row r="246" spans="1:15" ht="16" thickBot="1" x14ac:dyDescent="0.4">
      <c r="A246" s="120">
        <v>3</v>
      </c>
      <c r="B246" s="121" t="s">
        <v>11</v>
      </c>
      <c r="C246" s="117">
        <v>27.83</v>
      </c>
      <c r="D246" s="117">
        <v>27.82</v>
      </c>
      <c r="E246" s="118">
        <v>27.79</v>
      </c>
      <c r="F246" s="117">
        <v>27.61</v>
      </c>
      <c r="G246" s="117">
        <v>27.02</v>
      </c>
      <c r="H246" s="117">
        <v>25.93</v>
      </c>
      <c r="I246" s="42"/>
      <c r="J246" s="43"/>
      <c r="K246" s="42"/>
      <c r="L246" s="42"/>
      <c r="M246" s="42"/>
      <c r="N246" s="42"/>
      <c r="O246" s="42"/>
    </row>
    <row r="247" spans="1:15" ht="16" thickTop="1" x14ac:dyDescent="0.35">
      <c r="A247" s="330">
        <v>4</v>
      </c>
      <c r="B247" s="59" t="s">
        <v>12</v>
      </c>
      <c r="C247" s="289">
        <v>6.19</v>
      </c>
      <c r="D247" s="289">
        <v>6.19</v>
      </c>
      <c r="E247" s="295">
        <v>6.2</v>
      </c>
      <c r="F247" s="289">
        <v>6.09</v>
      </c>
      <c r="G247" s="289">
        <v>5.63</v>
      </c>
      <c r="H247" s="289">
        <v>5.07</v>
      </c>
      <c r="I247" s="42"/>
      <c r="J247" s="43"/>
      <c r="K247" s="42"/>
      <c r="L247" s="42"/>
      <c r="M247" s="42"/>
      <c r="N247" s="42"/>
      <c r="O247" s="42"/>
    </row>
    <row r="248" spans="1:15" ht="16" thickBot="1" x14ac:dyDescent="0.4">
      <c r="A248" s="331"/>
      <c r="B248" s="121" t="s">
        <v>13</v>
      </c>
      <c r="C248" s="288"/>
      <c r="D248" s="288"/>
      <c r="E248" s="294"/>
      <c r="F248" s="288"/>
      <c r="G248" s="288"/>
      <c r="H248" s="288"/>
      <c r="I248" s="42"/>
      <c r="J248" s="43"/>
      <c r="K248" s="42"/>
      <c r="L248" s="42"/>
      <c r="M248" s="42"/>
      <c r="N248" s="42"/>
      <c r="O248" s="42"/>
    </row>
    <row r="249" spans="1:15" ht="32" thickTop="1" thickBot="1" x14ac:dyDescent="0.4">
      <c r="A249" s="122">
        <v>5</v>
      </c>
      <c r="B249" s="123" t="s">
        <v>14</v>
      </c>
      <c r="C249" s="125">
        <v>357</v>
      </c>
      <c r="D249" s="125">
        <v>362</v>
      </c>
      <c r="E249" s="131">
        <v>370.2</v>
      </c>
      <c r="F249" s="125">
        <v>367.2</v>
      </c>
      <c r="G249" s="125">
        <v>347.7</v>
      </c>
      <c r="H249" s="125">
        <v>317.60000000000002</v>
      </c>
      <c r="I249" s="42"/>
      <c r="J249" s="43"/>
      <c r="K249" s="42"/>
      <c r="L249" s="42"/>
      <c r="M249" s="42"/>
      <c r="N249" s="42"/>
      <c r="O249" s="42"/>
    </row>
    <row r="250" spans="1:15" ht="31.5" thickBot="1" x14ac:dyDescent="0.4">
      <c r="A250" s="120">
        <v>6</v>
      </c>
      <c r="B250" s="121" t="s">
        <v>15</v>
      </c>
      <c r="C250" s="117">
        <v>510.4</v>
      </c>
      <c r="D250" s="117">
        <v>514.1</v>
      </c>
      <c r="E250" s="118">
        <v>519.4</v>
      </c>
      <c r="F250" s="117">
        <v>521.6</v>
      </c>
      <c r="G250" s="117">
        <v>528.9</v>
      </c>
      <c r="H250" s="117">
        <v>544.5</v>
      </c>
      <c r="I250" s="42"/>
      <c r="J250" s="43"/>
      <c r="K250" s="42"/>
      <c r="L250" s="42"/>
      <c r="M250" s="42"/>
      <c r="N250" s="42"/>
      <c r="O250" s="42"/>
    </row>
    <row r="251" spans="1:15" ht="16" thickTop="1" thickBot="1" x14ac:dyDescent="0.4">
      <c r="A251" s="302" t="s">
        <v>16</v>
      </c>
      <c r="B251" s="303"/>
      <c r="C251" s="303"/>
      <c r="D251" s="303"/>
      <c r="E251" s="303"/>
      <c r="F251" s="303"/>
      <c r="G251" s="303"/>
      <c r="H251" s="304"/>
      <c r="I251" s="42"/>
      <c r="J251" s="43"/>
      <c r="K251" s="42"/>
      <c r="L251" s="42"/>
      <c r="M251" s="42"/>
      <c r="N251" s="42"/>
      <c r="O251" s="42"/>
    </row>
    <row r="252" spans="1:15" ht="32" thickTop="1" thickBot="1" x14ac:dyDescent="0.4">
      <c r="A252" s="289">
        <v>7</v>
      </c>
      <c r="B252" s="123" t="s">
        <v>110</v>
      </c>
      <c r="C252" s="324"/>
      <c r="D252" s="325"/>
      <c r="E252" s="325"/>
      <c r="F252" s="325"/>
      <c r="G252" s="325"/>
      <c r="H252" s="326"/>
      <c r="I252" s="42"/>
      <c r="J252" s="43"/>
      <c r="K252" s="42"/>
      <c r="L252" s="42"/>
      <c r="M252" s="42"/>
      <c r="N252" s="42"/>
      <c r="O252" s="42"/>
    </row>
    <row r="253" spans="1:15" ht="16" thickBot="1" x14ac:dyDescent="0.4">
      <c r="A253" s="291"/>
      <c r="B253" s="121" t="s">
        <v>18</v>
      </c>
      <c r="C253" s="117">
        <v>445.8</v>
      </c>
      <c r="D253" s="117">
        <v>448.2</v>
      </c>
      <c r="E253" s="118">
        <v>451.8</v>
      </c>
      <c r="F253" s="117">
        <v>453</v>
      </c>
      <c r="G253" s="117">
        <v>456.9</v>
      </c>
      <c r="H253" s="117">
        <v>465.3</v>
      </c>
      <c r="I253" s="42"/>
      <c r="J253" s="43"/>
      <c r="K253" s="42"/>
      <c r="L253" s="42"/>
      <c r="M253" s="42"/>
      <c r="N253" s="42"/>
      <c r="O253" s="42"/>
    </row>
    <row r="254" spans="1:15" ht="16.5" thickTop="1" thickBot="1" x14ac:dyDescent="0.4">
      <c r="A254" s="291"/>
      <c r="B254" s="123" t="s">
        <v>19</v>
      </c>
      <c r="C254" s="125">
        <v>277.5</v>
      </c>
      <c r="D254" s="125">
        <v>279.3</v>
      </c>
      <c r="E254" s="131">
        <v>282</v>
      </c>
      <c r="F254" s="125">
        <v>281.89999999999998</v>
      </c>
      <c r="G254" s="125">
        <v>280</v>
      </c>
      <c r="H254" s="125">
        <v>277.3</v>
      </c>
      <c r="I254" s="42"/>
      <c r="J254" s="43"/>
      <c r="K254" s="42"/>
      <c r="L254" s="42"/>
      <c r="M254" s="42"/>
      <c r="N254" s="42"/>
      <c r="O254" s="42"/>
    </row>
    <row r="255" spans="1:15" ht="16" thickBot="1" x14ac:dyDescent="0.4">
      <c r="A255" s="291"/>
      <c r="B255" s="121" t="s">
        <v>20</v>
      </c>
      <c r="C255" s="117">
        <v>223.9</v>
      </c>
      <c r="D255" s="117">
        <v>224.3</v>
      </c>
      <c r="E255" s="118">
        <v>225.2</v>
      </c>
      <c r="F255" s="117">
        <v>224.8</v>
      </c>
      <c r="G255" s="117">
        <v>222.5</v>
      </c>
      <c r="H255" s="117">
        <v>218.9</v>
      </c>
      <c r="I255" s="42"/>
      <c r="J255" s="43"/>
      <c r="K255" s="42"/>
      <c r="L255" s="42"/>
      <c r="M255" s="42"/>
      <c r="N255" s="42"/>
      <c r="O255" s="42"/>
    </row>
    <row r="256" spans="1:15" ht="16.5" thickTop="1" thickBot="1" x14ac:dyDescent="0.4">
      <c r="A256" s="291"/>
      <c r="B256" s="123" t="s">
        <v>21</v>
      </c>
      <c r="C256" s="125">
        <v>220.7</v>
      </c>
      <c r="D256" s="125">
        <v>221.2</v>
      </c>
      <c r="E256" s="131">
        <v>222</v>
      </c>
      <c r="F256" s="125">
        <v>221.7</v>
      </c>
      <c r="G256" s="125">
        <v>219.4</v>
      </c>
      <c r="H256" s="125">
        <v>215.9</v>
      </c>
      <c r="I256" s="42"/>
      <c r="J256" s="43"/>
      <c r="K256" s="42"/>
      <c r="L256" s="42"/>
      <c r="M256" s="42"/>
      <c r="N256" s="42"/>
      <c r="O256" s="42"/>
    </row>
    <row r="257" spans="1:15" ht="16" thickBot="1" x14ac:dyDescent="0.4">
      <c r="A257" s="291"/>
      <c r="B257" s="121" t="s">
        <v>22</v>
      </c>
      <c r="C257" s="117">
        <v>161</v>
      </c>
      <c r="D257" s="117">
        <v>161.30000000000001</v>
      </c>
      <c r="E257" s="118">
        <v>161.80000000000001</v>
      </c>
      <c r="F257" s="117">
        <v>161.6</v>
      </c>
      <c r="G257" s="117">
        <v>160.19999999999999</v>
      </c>
      <c r="H257" s="117">
        <v>158.19999999999999</v>
      </c>
      <c r="I257" s="42"/>
      <c r="J257" s="43"/>
      <c r="K257" s="42"/>
      <c r="L257" s="42"/>
      <c r="M257" s="42"/>
      <c r="N257" s="42"/>
      <c r="O257" s="42"/>
    </row>
    <row r="258" spans="1:15" ht="16.5" thickTop="1" thickBot="1" x14ac:dyDescent="0.4">
      <c r="A258" s="290"/>
      <c r="B258" s="123" t="s">
        <v>23</v>
      </c>
      <c r="C258" s="125">
        <v>99.8</v>
      </c>
      <c r="D258" s="125">
        <v>101.5</v>
      </c>
      <c r="E258" s="131">
        <v>102.7</v>
      </c>
      <c r="F258" s="125">
        <v>103.3</v>
      </c>
      <c r="G258" s="125">
        <v>104</v>
      </c>
      <c r="H258" s="125">
        <v>92.1</v>
      </c>
      <c r="I258" s="42"/>
      <c r="J258" s="43"/>
      <c r="K258" s="42"/>
      <c r="L258" s="42"/>
      <c r="M258" s="42"/>
      <c r="N258" s="42"/>
      <c r="O258" s="42"/>
    </row>
    <row r="259" spans="1:15" ht="16" thickBot="1" x14ac:dyDescent="0.4">
      <c r="A259" s="287">
        <v>8</v>
      </c>
      <c r="B259" s="121" t="s">
        <v>24</v>
      </c>
      <c r="C259" s="318"/>
      <c r="D259" s="319"/>
      <c r="E259" s="319"/>
      <c r="F259" s="319"/>
      <c r="G259" s="319"/>
      <c r="H259" s="320"/>
      <c r="I259" s="42"/>
      <c r="J259" s="43"/>
      <c r="K259" s="42"/>
      <c r="L259" s="42"/>
      <c r="M259" s="42"/>
      <c r="N259" s="42"/>
      <c r="O259" s="42"/>
    </row>
    <row r="260" spans="1:15" ht="16.5" thickTop="1" thickBot="1" x14ac:dyDescent="0.4">
      <c r="A260" s="291"/>
      <c r="B260" s="123" t="s">
        <v>25</v>
      </c>
      <c r="C260" s="125">
        <v>41.97</v>
      </c>
      <c r="D260" s="125">
        <v>42.97</v>
      </c>
      <c r="E260" s="131">
        <v>44.5</v>
      </c>
      <c r="F260" s="125">
        <v>44.44</v>
      </c>
      <c r="G260" s="125">
        <v>43.17</v>
      </c>
      <c r="H260" s="125">
        <v>41.42</v>
      </c>
      <c r="I260" s="42"/>
      <c r="J260" s="43"/>
      <c r="K260" s="42"/>
      <c r="L260" s="42"/>
      <c r="M260" s="42"/>
      <c r="N260" s="42"/>
      <c r="O260" s="42"/>
    </row>
    <row r="261" spans="1:15" ht="16" thickBot="1" x14ac:dyDescent="0.4">
      <c r="A261" s="291"/>
      <c r="B261" s="121" t="s">
        <v>26</v>
      </c>
      <c r="C261" s="117">
        <v>5.5270000000000001</v>
      </c>
      <c r="D261" s="117">
        <v>5.6689999999999996</v>
      </c>
      <c r="E261" s="118">
        <v>5.8840000000000003</v>
      </c>
      <c r="F261" s="117">
        <v>5.8849999999999998</v>
      </c>
      <c r="G261" s="117">
        <v>5.7469999999999999</v>
      </c>
      <c r="H261" s="117">
        <v>5.5739999999999998</v>
      </c>
      <c r="I261" s="42"/>
      <c r="J261" s="43"/>
      <c r="K261" s="42"/>
      <c r="L261" s="42"/>
      <c r="M261" s="42"/>
      <c r="N261" s="42"/>
      <c r="O261" s="42"/>
    </row>
    <row r="262" spans="1:15" ht="16.5" thickTop="1" thickBot="1" x14ac:dyDescent="0.4">
      <c r="A262" s="290"/>
      <c r="B262" s="123" t="s">
        <v>27</v>
      </c>
      <c r="C262" s="125">
        <v>494.3</v>
      </c>
      <c r="D262" s="125">
        <v>497.1</v>
      </c>
      <c r="E262" s="131">
        <v>501.1</v>
      </c>
      <c r="F262" s="125">
        <v>503.1</v>
      </c>
      <c r="G262" s="125">
        <v>509.9</v>
      </c>
      <c r="H262" s="125">
        <v>524.1</v>
      </c>
      <c r="I262" s="42"/>
      <c r="J262" s="43"/>
      <c r="K262" s="42"/>
      <c r="L262" s="42"/>
      <c r="M262" s="42"/>
      <c r="N262" s="42"/>
      <c r="O262" s="42"/>
    </row>
    <row r="263" spans="1:15" ht="16" thickBot="1" x14ac:dyDescent="0.4">
      <c r="A263" s="287">
        <v>9</v>
      </c>
      <c r="B263" s="121" t="s">
        <v>28</v>
      </c>
      <c r="C263" s="318"/>
      <c r="D263" s="319"/>
      <c r="E263" s="319"/>
      <c r="F263" s="319"/>
      <c r="G263" s="319"/>
      <c r="H263" s="320"/>
      <c r="I263" s="42"/>
      <c r="J263" s="43"/>
      <c r="K263" s="42"/>
      <c r="L263" s="42"/>
      <c r="M263" s="42"/>
      <c r="N263" s="42"/>
      <c r="O263" s="42"/>
    </row>
    <row r="264" spans="1:15" ht="16.5" thickTop="1" thickBot="1" x14ac:dyDescent="0.4">
      <c r="A264" s="291"/>
      <c r="B264" s="121" t="s">
        <v>25</v>
      </c>
      <c r="C264" s="117">
        <v>10.57</v>
      </c>
      <c r="D264" s="117">
        <v>10.74</v>
      </c>
      <c r="E264" s="118">
        <v>11.04</v>
      </c>
      <c r="F264" s="117">
        <v>10.92</v>
      </c>
      <c r="G264" s="117">
        <v>10.17</v>
      </c>
      <c r="H264" s="117">
        <v>9.0299999999999994</v>
      </c>
      <c r="I264" s="42"/>
      <c r="J264" s="43"/>
      <c r="K264" s="42"/>
      <c r="L264" s="42"/>
      <c r="M264" s="42"/>
      <c r="N264" s="42"/>
      <c r="O264" s="42"/>
    </row>
    <row r="265" spans="1:15" ht="16.5" thickTop="1" thickBot="1" x14ac:dyDescent="0.4">
      <c r="A265" s="291"/>
      <c r="B265" s="123" t="s">
        <v>26</v>
      </c>
      <c r="C265" s="125">
        <v>0.46100000000000002</v>
      </c>
      <c r="D265" s="125">
        <v>0.46300000000000002</v>
      </c>
      <c r="E265" s="131">
        <v>0.46600000000000003</v>
      </c>
      <c r="F265" s="125">
        <v>0.46500000000000002</v>
      </c>
      <c r="G265" s="125">
        <v>0.45700000000000002</v>
      </c>
      <c r="H265" s="125">
        <v>0.44600000000000001</v>
      </c>
      <c r="I265" s="42"/>
      <c r="J265" s="43"/>
      <c r="K265" s="42"/>
      <c r="L265" s="42"/>
      <c r="M265" s="42"/>
      <c r="N265" s="42"/>
      <c r="O265" s="42"/>
    </row>
    <row r="266" spans="1:15" ht="16" thickBot="1" x14ac:dyDescent="0.4">
      <c r="A266" s="288"/>
      <c r="B266" s="121" t="s">
        <v>27</v>
      </c>
      <c r="C266" s="117">
        <v>200.9</v>
      </c>
      <c r="D266" s="117">
        <v>201.1</v>
      </c>
      <c r="E266" s="118">
        <v>201.5</v>
      </c>
      <c r="F266" s="117">
        <v>201.3</v>
      </c>
      <c r="G266" s="117">
        <v>200.4</v>
      </c>
      <c r="H266" s="117">
        <v>199</v>
      </c>
      <c r="I266" s="42"/>
      <c r="J266" s="43"/>
      <c r="K266" s="42"/>
      <c r="L266" s="42"/>
      <c r="M266" s="42"/>
      <c r="N266" s="42"/>
      <c r="O266" s="42"/>
    </row>
    <row r="267" spans="1:15" ht="16" thickTop="1" thickBot="1" x14ac:dyDescent="0.4">
      <c r="A267" s="302" t="s">
        <v>29</v>
      </c>
      <c r="B267" s="303"/>
      <c r="C267" s="303"/>
      <c r="D267" s="303"/>
      <c r="E267" s="303"/>
      <c r="F267" s="303"/>
      <c r="G267" s="303"/>
      <c r="H267" s="304"/>
      <c r="I267" s="42"/>
      <c r="J267" s="43"/>
      <c r="K267" s="42"/>
      <c r="L267" s="42"/>
      <c r="M267" s="42"/>
      <c r="N267" s="42"/>
      <c r="O267" s="42"/>
    </row>
    <row r="268" spans="1:15" ht="32" thickTop="1" thickBot="1" x14ac:dyDescent="0.4">
      <c r="A268" s="295">
        <v>10</v>
      </c>
      <c r="B268" s="121" t="s">
        <v>30</v>
      </c>
      <c r="C268" s="315"/>
      <c r="D268" s="316"/>
      <c r="E268" s="316"/>
      <c r="F268" s="316"/>
      <c r="G268" s="316"/>
      <c r="H268" s="317"/>
      <c r="I268" s="42"/>
      <c r="J268" s="43"/>
      <c r="K268" s="42"/>
      <c r="L268" s="42"/>
      <c r="M268" s="42"/>
      <c r="N268" s="42"/>
      <c r="O268" s="42"/>
    </row>
    <row r="269" spans="1:15" ht="16.5" thickTop="1" thickBot="1" x14ac:dyDescent="0.4">
      <c r="A269" s="314"/>
      <c r="B269" s="123" t="s">
        <v>25</v>
      </c>
      <c r="C269" s="125">
        <v>41.97</v>
      </c>
      <c r="D269" s="125">
        <v>42.97</v>
      </c>
      <c r="E269" s="131">
        <v>44.5</v>
      </c>
      <c r="F269" s="125">
        <v>44.44</v>
      </c>
      <c r="G269" s="125">
        <v>43.17</v>
      </c>
      <c r="H269" s="125">
        <v>41.42</v>
      </c>
      <c r="I269" s="42"/>
      <c r="J269" s="43"/>
      <c r="K269" s="42"/>
      <c r="L269" s="42"/>
      <c r="M269" s="42"/>
      <c r="N269" s="42"/>
      <c r="O269" s="42"/>
    </row>
    <row r="270" spans="1:15" ht="16" thickBot="1" x14ac:dyDescent="0.4">
      <c r="A270" s="314"/>
      <c r="B270" s="121" t="s">
        <v>26</v>
      </c>
      <c r="C270" s="117">
        <v>5.1989999999999998</v>
      </c>
      <c r="D270" s="117">
        <v>5.3310000000000004</v>
      </c>
      <c r="E270" s="118">
        <v>5.5289999999999999</v>
      </c>
      <c r="F270" s="117">
        <v>5.53</v>
      </c>
      <c r="G270" s="117">
        <v>5.4039999999999999</v>
      </c>
      <c r="H270" s="117">
        <v>5.2460000000000004</v>
      </c>
      <c r="I270" s="42"/>
      <c r="J270" s="43"/>
      <c r="K270" s="42"/>
      <c r="L270" s="42"/>
      <c r="M270" s="42"/>
      <c r="N270" s="42"/>
      <c r="O270" s="42"/>
    </row>
    <row r="271" spans="1:15" ht="16.5" thickTop="1" thickBot="1" x14ac:dyDescent="0.4">
      <c r="A271" s="293"/>
      <c r="B271" s="123" t="s">
        <v>32</v>
      </c>
      <c r="C271" s="125">
        <v>492.2</v>
      </c>
      <c r="D271" s="125">
        <v>495</v>
      </c>
      <c r="E271" s="131">
        <v>499</v>
      </c>
      <c r="F271" s="125">
        <v>500.9</v>
      </c>
      <c r="G271" s="125">
        <v>507.8</v>
      </c>
      <c r="H271" s="125">
        <v>522.1</v>
      </c>
      <c r="I271" s="42"/>
      <c r="J271" s="43"/>
      <c r="K271" s="42"/>
      <c r="L271" s="42"/>
      <c r="M271" s="42"/>
      <c r="N271" s="42"/>
      <c r="O271" s="42"/>
    </row>
    <row r="272" spans="1:15" ht="31.5" thickBot="1" x14ac:dyDescent="0.4">
      <c r="A272" s="292">
        <v>11</v>
      </c>
      <c r="B272" s="121" t="s">
        <v>33</v>
      </c>
      <c r="C272" s="318"/>
      <c r="D272" s="319"/>
      <c r="E272" s="319"/>
      <c r="F272" s="319"/>
      <c r="G272" s="319"/>
      <c r="H272" s="320"/>
      <c r="I272" s="42"/>
      <c r="J272" s="43"/>
      <c r="K272" s="42"/>
      <c r="L272" s="42"/>
      <c r="M272" s="42"/>
      <c r="N272" s="42"/>
      <c r="O272" s="42"/>
    </row>
    <row r="273" spans="1:15" ht="16.5" thickTop="1" thickBot="1" x14ac:dyDescent="0.4">
      <c r="A273" s="314"/>
      <c r="B273" s="123" t="s">
        <v>25</v>
      </c>
      <c r="C273" s="125">
        <v>10.57</v>
      </c>
      <c r="D273" s="125">
        <v>10.74</v>
      </c>
      <c r="E273" s="131">
        <v>11.04</v>
      </c>
      <c r="F273" s="125">
        <v>10.92</v>
      </c>
      <c r="G273" s="125">
        <v>10.17</v>
      </c>
      <c r="H273" s="125">
        <v>9.0299999999999994</v>
      </c>
      <c r="I273" s="42"/>
      <c r="J273" s="43"/>
      <c r="K273" s="42"/>
      <c r="L273" s="42"/>
      <c r="M273" s="42"/>
      <c r="N273" s="42"/>
      <c r="O273" s="42"/>
    </row>
    <row r="274" spans="1:15" ht="16" thickBot="1" x14ac:dyDescent="0.4">
      <c r="A274" s="314"/>
      <c r="B274" s="121" t="s">
        <v>26</v>
      </c>
      <c r="C274" s="117">
        <v>0.4</v>
      </c>
      <c r="D274" s="117">
        <v>0.4</v>
      </c>
      <c r="E274" s="118">
        <v>0.4</v>
      </c>
      <c r="F274" s="117">
        <v>0.4</v>
      </c>
      <c r="G274" s="117">
        <v>0.4</v>
      </c>
      <c r="H274" s="117">
        <v>0.4</v>
      </c>
      <c r="I274" s="42"/>
      <c r="J274" s="169">
        <f>E274-E278</f>
        <v>1.8000000000000016E-2</v>
      </c>
      <c r="K274" s="169">
        <f>F274-F278</f>
        <v>1.9000000000000017E-2</v>
      </c>
      <c r="L274" s="169">
        <f>G274-G278</f>
        <v>3.3000000000000029E-2</v>
      </c>
      <c r="M274" s="169">
        <f>H274-H278</f>
        <v>4.9000000000000044E-2</v>
      </c>
      <c r="N274" s="42"/>
      <c r="O274" s="42"/>
    </row>
    <row r="275" spans="1:15" ht="16.5" thickTop="1" thickBot="1" x14ac:dyDescent="0.4">
      <c r="A275" s="293"/>
      <c r="B275" s="123" t="s">
        <v>27</v>
      </c>
      <c r="C275" s="125">
        <v>199.4</v>
      </c>
      <c r="D275" s="125">
        <v>199.6</v>
      </c>
      <c r="E275" s="131">
        <v>199.8</v>
      </c>
      <c r="F275" s="125">
        <v>199.7</v>
      </c>
      <c r="G275" s="125">
        <v>199</v>
      </c>
      <c r="H275" s="125">
        <v>197.8</v>
      </c>
      <c r="I275" s="42"/>
      <c r="J275" s="43"/>
      <c r="K275" s="42"/>
      <c r="L275" s="42"/>
      <c r="M275" s="42"/>
      <c r="N275" s="42"/>
      <c r="O275" s="42"/>
    </row>
    <row r="276" spans="1:15" ht="16" thickBot="1" x14ac:dyDescent="0.4">
      <c r="A276" s="292">
        <v>12</v>
      </c>
      <c r="B276" s="123" t="s">
        <v>34</v>
      </c>
      <c r="C276" s="321"/>
      <c r="D276" s="322"/>
      <c r="E276" s="322"/>
      <c r="F276" s="322"/>
      <c r="G276" s="322"/>
      <c r="H276" s="323"/>
      <c r="I276" s="42"/>
      <c r="J276" s="43"/>
      <c r="K276" s="42"/>
      <c r="L276" s="42"/>
      <c r="M276" s="42"/>
      <c r="N276" s="42"/>
      <c r="O276" s="42"/>
    </row>
    <row r="277" spans="1:15" ht="16" thickBot="1" x14ac:dyDescent="0.4">
      <c r="A277" s="314"/>
      <c r="B277" s="121" t="s">
        <v>31</v>
      </c>
      <c r="C277" s="117">
        <v>52.33</v>
      </c>
      <c r="D277" s="117">
        <v>53.5</v>
      </c>
      <c r="E277" s="118">
        <v>55.33</v>
      </c>
      <c r="F277" s="117">
        <v>55.2</v>
      </c>
      <c r="G277" s="117">
        <v>53.14</v>
      </c>
      <c r="H277" s="117">
        <v>50.25</v>
      </c>
      <c r="I277" s="42"/>
      <c r="J277" s="43"/>
      <c r="K277" s="42"/>
      <c r="L277" s="42"/>
      <c r="M277" s="42"/>
      <c r="N277" s="42"/>
      <c r="O277" s="42"/>
    </row>
    <row r="278" spans="1:15" ht="16.5" thickTop="1" thickBot="1" x14ac:dyDescent="0.4">
      <c r="A278" s="314"/>
      <c r="B278" s="123" t="s">
        <v>26</v>
      </c>
      <c r="C278" s="125">
        <v>0.36</v>
      </c>
      <c r="D278" s="125">
        <v>0.36899999999999999</v>
      </c>
      <c r="E278" s="131">
        <v>0.38200000000000001</v>
      </c>
      <c r="F278" s="125">
        <v>0.38100000000000001</v>
      </c>
      <c r="G278" s="125">
        <v>0.36699999999999999</v>
      </c>
      <c r="H278" s="125">
        <v>0.35099999999999998</v>
      </c>
      <c r="I278" s="42"/>
      <c r="J278" s="43"/>
      <c r="K278" s="42"/>
      <c r="L278" s="42"/>
      <c r="M278" s="42"/>
      <c r="N278" s="42"/>
      <c r="O278" s="42"/>
    </row>
    <row r="279" spans="1:15" ht="16" thickBot="1" x14ac:dyDescent="0.4">
      <c r="A279" s="294"/>
      <c r="B279" s="121" t="s">
        <v>35</v>
      </c>
      <c r="C279" s="117">
        <v>191.9</v>
      </c>
      <c r="D279" s="117">
        <v>193.2</v>
      </c>
      <c r="E279" s="118">
        <v>195.2</v>
      </c>
      <c r="F279" s="117">
        <v>196</v>
      </c>
      <c r="G279" s="117">
        <v>196.1</v>
      </c>
      <c r="H279" s="117">
        <v>205.8</v>
      </c>
      <c r="I279" s="42"/>
      <c r="J279" s="43"/>
      <c r="K279" s="42"/>
      <c r="L279" s="42"/>
      <c r="M279" s="42"/>
      <c r="N279" s="42"/>
      <c r="O279" s="42"/>
    </row>
    <row r="280" spans="1:15" ht="16.5" thickTop="1" thickBot="1" x14ac:dyDescent="0.4">
      <c r="A280" s="295">
        <v>13</v>
      </c>
      <c r="B280" s="130" t="s">
        <v>36</v>
      </c>
      <c r="C280" s="366"/>
      <c r="D280" s="367"/>
      <c r="E280" s="367"/>
      <c r="F280" s="367"/>
      <c r="G280" s="367"/>
      <c r="H280" s="368"/>
      <c r="I280" s="42"/>
      <c r="J280" s="43"/>
      <c r="K280" s="42"/>
      <c r="L280" s="42"/>
      <c r="M280" s="42"/>
      <c r="N280" s="42"/>
      <c r="O280" s="42"/>
    </row>
    <row r="281" spans="1:15" ht="16" thickBot="1" x14ac:dyDescent="0.4">
      <c r="A281" s="314"/>
      <c r="B281" s="121" t="s">
        <v>31</v>
      </c>
      <c r="C281" s="117">
        <v>0</v>
      </c>
      <c r="D281" s="117">
        <v>0</v>
      </c>
      <c r="E281" s="117">
        <v>0</v>
      </c>
      <c r="F281" s="117">
        <v>0</v>
      </c>
      <c r="G281" s="117">
        <v>0</v>
      </c>
      <c r="H281" s="117">
        <v>0</v>
      </c>
      <c r="I281" s="42"/>
      <c r="J281" s="43"/>
      <c r="K281" s="42"/>
      <c r="L281" s="42"/>
      <c r="M281" s="42"/>
      <c r="N281" s="42"/>
      <c r="O281" s="42"/>
    </row>
    <row r="282" spans="1:15" ht="16.5" thickTop="1" thickBot="1" x14ac:dyDescent="0.4">
      <c r="A282" s="314"/>
      <c r="B282" s="123" t="s">
        <v>26</v>
      </c>
      <c r="C282" s="126">
        <v>0.15</v>
      </c>
      <c r="D282" s="125">
        <v>0.15379999999999999</v>
      </c>
      <c r="E282" s="125">
        <v>0.1595</v>
      </c>
      <c r="F282" s="125">
        <v>0.15909999999999999</v>
      </c>
      <c r="G282" s="126">
        <v>0.153</v>
      </c>
      <c r="H282" s="123">
        <v>0.1469</v>
      </c>
      <c r="I282" s="42"/>
      <c r="J282" s="42">
        <f>C274-C278</f>
        <v>4.0000000000000036E-2</v>
      </c>
      <c r="K282" s="42"/>
      <c r="L282" s="42"/>
      <c r="M282" s="42"/>
      <c r="N282" s="42"/>
      <c r="O282" s="42"/>
    </row>
    <row r="283" spans="1:15" ht="16" thickBot="1" x14ac:dyDescent="0.4">
      <c r="A283" s="294"/>
      <c r="B283" s="121" t="s">
        <v>27</v>
      </c>
      <c r="C283" s="128">
        <v>119.3</v>
      </c>
      <c r="D283" s="117">
        <v>120.4</v>
      </c>
      <c r="E283" s="117">
        <v>122.1</v>
      </c>
      <c r="F283" s="117">
        <v>122.9</v>
      </c>
      <c r="G283" s="118">
        <v>122.1</v>
      </c>
      <c r="H283" s="118">
        <v>131.6</v>
      </c>
      <c r="I283" s="42"/>
      <c r="J283" s="43"/>
      <c r="K283" s="42"/>
      <c r="L283" s="42"/>
      <c r="M283" s="42"/>
      <c r="N283" s="42"/>
      <c r="O283" s="42"/>
    </row>
    <row r="284" spans="1:15" ht="16.5" thickTop="1" thickBot="1" x14ac:dyDescent="0.4">
      <c r="A284" s="295">
        <v>14</v>
      </c>
      <c r="B284" s="121" t="s">
        <v>37</v>
      </c>
      <c r="C284" s="308"/>
      <c r="D284" s="309"/>
      <c r="E284" s="309"/>
      <c r="F284" s="309"/>
      <c r="G284" s="309"/>
      <c r="H284" s="310"/>
      <c r="I284" s="42"/>
      <c r="J284" s="43"/>
      <c r="K284" s="42"/>
      <c r="L284" s="42"/>
      <c r="M284" s="42"/>
      <c r="N284" s="42"/>
      <c r="O284" s="42"/>
    </row>
    <row r="285" spans="1:15" ht="16.5" thickTop="1" thickBot="1" x14ac:dyDescent="0.4">
      <c r="A285" s="314"/>
      <c r="B285" s="123" t="s">
        <v>31</v>
      </c>
      <c r="C285" s="125">
        <v>0</v>
      </c>
      <c r="D285" s="125">
        <v>0</v>
      </c>
      <c r="E285" s="125">
        <v>0</v>
      </c>
      <c r="F285" s="125">
        <v>0</v>
      </c>
      <c r="G285" s="125">
        <v>0</v>
      </c>
      <c r="H285" s="125">
        <v>0</v>
      </c>
      <c r="I285" s="42"/>
      <c r="J285" s="43">
        <f>C273+C269</f>
        <v>52.54</v>
      </c>
      <c r="K285" s="42"/>
      <c r="L285" s="42"/>
      <c r="M285" s="42"/>
      <c r="N285" s="42"/>
      <c r="O285" s="42"/>
    </row>
    <row r="286" spans="1:15" ht="16" thickBot="1" x14ac:dyDescent="0.4">
      <c r="A286" s="314"/>
      <c r="B286" s="121" t="s">
        <v>26</v>
      </c>
      <c r="C286" s="128">
        <v>6.4699999999999994E-2</v>
      </c>
      <c r="D286" s="117">
        <v>6.6299999999999998E-2</v>
      </c>
      <c r="E286" s="117">
        <v>6.88E-2</v>
      </c>
      <c r="F286" s="117">
        <v>6.8599999999999994E-2</v>
      </c>
      <c r="G286" s="128">
        <v>6.6000000000000003E-2</v>
      </c>
      <c r="H286" s="121">
        <v>6.4000000000000001E-2</v>
      </c>
      <c r="I286" s="42"/>
      <c r="J286" s="43"/>
      <c r="K286" s="42"/>
      <c r="L286" s="42"/>
      <c r="M286" s="42"/>
      <c r="N286" s="42"/>
      <c r="O286" s="42"/>
    </row>
    <row r="287" spans="1:15" ht="16.5" thickTop="1" thickBot="1" x14ac:dyDescent="0.4">
      <c r="A287" s="293"/>
      <c r="B287" s="123" t="s">
        <v>27</v>
      </c>
      <c r="C287" s="131">
        <v>87.9</v>
      </c>
      <c r="D287" s="125">
        <v>88.5</v>
      </c>
      <c r="E287" s="125">
        <v>89.5</v>
      </c>
      <c r="F287" s="125">
        <v>89.4</v>
      </c>
      <c r="G287" s="131">
        <v>88.4</v>
      </c>
      <c r="H287" s="131">
        <v>87.6</v>
      </c>
      <c r="I287" s="42"/>
      <c r="J287" s="43"/>
      <c r="K287" s="42"/>
      <c r="L287" s="42"/>
      <c r="M287" s="42"/>
      <c r="N287" s="42"/>
      <c r="O287" s="42"/>
    </row>
    <row r="288" spans="1:15" ht="16" thickBot="1" x14ac:dyDescent="0.4">
      <c r="A288" s="292">
        <v>15</v>
      </c>
      <c r="B288" s="121" t="s">
        <v>38</v>
      </c>
      <c r="C288" s="318"/>
      <c r="D288" s="319"/>
      <c r="E288" s="319"/>
      <c r="F288" s="319"/>
      <c r="G288" s="319"/>
      <c r="H288" s="320"/>
      <c r="I288" s="42"/>
      <c r="J288" s="43"/>
      <c r="K288" s="42"/>
      <c r="L288" s="42"/>
      <c r="M288" s="42"/>
      <c r="N288" s="42"/>
      <c r="O288" s="42"/>
    </row>
    <row r="289" spans="1:15" ht="16.5" thickTop="1" thickBot="1" x14ac:dyDescent="0.4">
      <c r="A289" s="314"/>
      <c r="B289" s="123" t="s">
        <v>31</v>
      </c>
      <c r="C289" s="126">
        <v>52.33</v>
      </c>
      <c r="D289" s="125">
        <v>53.5</v>
      </c>
      <c r="E289" s="125">
        <v>55.33</v>
      </c>
      <c r="F289" s="125">
        <v>55.17</v>
      </c>
      <c r="G289" s="131">
        <v>53.14</v>
      </c>
      <c r="H289" s="131">
        <v>50.25</v>
      </c>
      <c r="I289" s="42"/>
      <c r="J289" s="43"/>
      <c r="K289" s="42"/>
      <c r="L289" s="42"/>
      <c r="M289" s="42"/>
      <c r="N289" s="42"/>
      <c r="O289" s="42"/>
    </row>
    <row r="290" spans="1:15" ht="16" thickBot="1" x14ac:dyDescent="0.4">
      <c r="A290" s="314"/>
      <c r="B290" s="121" t="s">
        <v>27</v>
      </c>
      <c r="C290" s="118">
        <v>87.9</v>
      </c>
      <c r="D290" s="117">
        <v>88.5</v>
      </c>
      <c r="E290" s="117">
        <v>89.5</v>
      </c>
      <c r="F290" s="117">
        <v>89.4</v>
      </c>
      <c r="G290" s="118">
        <v>88.5</v>
      </c>
      <c r="H290" s="118">
        <v>87.6</v>
      </c>
      <c r="I290" s="42"/>
      <c r="J290" s="43"/>
      <c r="L290" s="42"/>
      <c r="M290" s="42"/>
      <c r="N290" s="42"/>
      <c r="O290" s="42"/>
    </row>
    <row r="291" spans="1:15" ht="47.5" thickTop="1" thickBot="1" x14ac:dyDescent="0.4">
      <c r="A291" s="293"/>
      <c r="B291" s="123" t="s">
        <v>122</v>
      </c>
      <c r="C291" s="126" t="s">
        <v>217</v>
      </c>
      <c r="D291" s="125" t="s">
        <v>218</v>
      </c>
      <c r="E291" s="125" t="s">
        <v>123</v>
      </c>
      <c r="F291" s="125" t="s">
        <v>219</v>
      </c>
      <c r="G291" s="131" t="s">
        <v>41</v>
      </c>
      <c r="H291" s="131" t="s">
        <v>220</v>
      </c>
      <c r="I291" s="42"/>
      <c r="J291" s="43"/>
      <c r="K291" s="42"/>
      <c r="L291" s="42"/>
      <c r="M291" s="42"/>
      <c r="N291" s="42"/>
      <c r="O291" s="42"/>
    </row>
    <row r="292" spans="1:15" ht="16" thickBot="1" x14ac:dyDescent="0.4">
      <c r="A292" s="292">
        <v>16</v>
      </c>
      <c r="B292" s="121" t="s">
        <v>53</v>
      </c>
      <c r="C292" s="318"/>
      <c r="D292" s="319"/>
      <c r="E292" s="319"/>
      <c r="F292" s="319"/>
      <c r="G292" s="319"/>
      <c r="H292" s="320"/>
      <c r="I292" s="42"/>
      <c r="J292" s="43"/>
      <c r="K292" s="42"/>
      <c r="L292" s="42"/>
      <c r="M292" s="42"/>
      <c r="N292" s="42"/>
      <c r="O292" s="42"/>
    </row>
    <row r="293" spans="1:15" ht="16.5" thickTop="1" thickBot="1" x14ac:dyDescent="0.4">
      <c r="A293" s="314"/>
      <c r="B293" s="123" t="s">
        <v>31</v>
      </c>
      <c r="C293" s="131">
        <v>52.3</v>
      </c>
      <c r="D293" s="125">
        <v>53.5</v>
      </c>
      <c r="E293" s="125">
        <v>55.33</v>
      </c>
      <c r="F293" s="125">
        <v>55.17</v>
      </c>
      <c r="G293" s="131">
        <v>53.14</v>
      </c>
      <c r="H293" s="131">
        <v>50.25</v>
      </c>
      <c r="I293" s="42"/>
      <c r="J293" s="43"/>
      <c r="K293" s="42"/>
      <c r="L293" s="42"/>
      <c r="M293" s="42"/>
      <c r="N293" s="42"/>
      <c r="O293" s="42"/>
    </row>
    <row r="294" spans="1:15" ht="16" thickBot="1" x14ac:dyDescent="0.4">
      <c r="A294" s="314"/>
      <c r="B294" s="123" t="s">
        <v>26</v>
      </c>
      <c r="C294" s="126">
        <v>4.7999999999999996E-3</v>
      </c>
      <c r="D294" s="125">
        <v>5.7000000000000002E-3</v>
      </c>
      <c r="E294" s="125">
        <v>6.6E-3</v>
      </c>
      <c r="F294" s="125">
        <v>7.3000000000000001E-3</v>
      </c>
      <c r="G294" s="126">
        <v>9.1999999999999998E-3</v>
      </c>
      <c r="H294" s="123">
        <v>1.47E-2</v>
      </c>
      <c r="I294" s="42"/>
      <c r="J294" s="43"/>
      <c r="K294" s="42"/>
      <c r="L294" s="42"/>
      <c r="M294" s="42"/>
      <c r="N294" s="42"/>
      <c r="O294" s="42"/>
    </row>
    <row r="295" spans="1:15" ht="47" thickBot="1" x14ac:dyDescent="0.4">
      <c r="A295" s="294"/>
      <c r="B295" s="121" t="s">
        <v>122</v>
      </c>
      <c r="C295" s="128" t="s">
        <v>221</v>
      </c>
      <c r="D295" s="117" t="s">
        <v>222</v>
      </c>
      <c r="E295" s="117" t="s">
        <v>192</v>
      </c>
      <c r="F295" s="117" t="s">
        <v>223</v>
      </c>
      <c r="G295" s="118" t="s">
        <v>224</v>
      </c>
      <c r="H295" s="118" t="s">
        <v>225</v>
      </c>
      <c r="I295" s="42"/>
      <c r="J295" s="43"/>
      <c r="K295" s="42"/>
      <c r="L295" s="42"/>
      <c r="M295" s="42"/>
      <c r="N295" s="42"/>
      <c r="O295" s="42"/>
    </row>
    <row r="296" spans="1:15" ht="16" thickTop="1" thickBot="1" x14ac:dyDescent="0.4">
      <c r="A296" s="302" t="s">
        <v>63</v>
      </c>
      <c r="B296" s="303"/>
      <c r="C296" s="303"/>
      <c r="D296" s="303"/>
      <c r="E296" s="303"/>
      <c r="F296" s="303"/>
      <c r="G296" s="303"/>
      <c r="H296" s="304"/>
      <c r="I296" s="42"/>
      <c r="J296" s="43"/>
      <c r="K296" s="42"/>
      <c r="L296" s="42"/>
      <c r="M296" s="42"/>
      <c r="N296" s="42"/>
      <c r="O296" s="42"/>
    </row>
    <row r="297" spans="1:15" ht="16.5" thickTop="1" thickBot="1" x14ac:dyDescent="0.4">
      <c r="A297" s="134">
        <v>17</v>
      </c>
      <c r="B297" s="121" t="s">
        <v>26</v>
      </c>
      <c r="C297" s="128">
        <v>4.7999999999999996E-3</v>
      </c>
      <c r="D297" s="117">
        <v>5.7000000000000002E-3</v>
      </c>
      <c r="E297" s="117">
        <v>6.6E-3</v>
      </c>
      <c r="F297" s="117">
        <v>7.3000000000000001E-3</v>
      </c>
      <c r="G297" s="128">
        <v>9.1999999999999998E-3</v>
      </c>
      <c r="H297" s="121">
        <v>1.47E-2</v>
      </c>
      <c r="I297" s="42"/>
      <c r="J297" s="43"/>
      <c r="K297" s="42"/>
      <c r="L297" s="42"/>
      <c r="M297" s="42"/>
      <c r="N297" s="42"/>
      <c r="O297" s="42"/>
    </row>
    <row r="298" spans="1:15" ht="32" thickTop="1" thickBot="1" x14ac:dyDescent="0.4">
      <c r="A298" s="135">
        <v>18</v>
      </c>
      <c r="B298" s="123" t="s">
        <v>64</v>
      </c>
      <c r="C298" s="131">
        <v>32</v>
      </c>
      <c r="D298" s="125">
        <v>35.4</v>
      </c>
      <c r="E298" s="125">
        <v>37.9</v>
      </c>
      <c r="F298" s="125">
        <v>39.9</v>
      </c>
      <c r="G298" s="131">
        <v>44.3</v>
      </c>
      <c r="H298" s="131">
        <v>53.55</v>
      </c>
      <c r="I298" s="42"/>
      <c r="J298" s="43"/>
      <c r="K298" s="42"/>
      <c r="L298" s="42"/>
      <c r="M298" s="42"/>
      <c r="N298" s="42"/>
      <c r="O298" s="42"/>
    </row>
    <row r="299" spans="1:15" ht="31.5" thickBot="1" x14ac:dyDescent="0.4">
      <c r="A299" s="134">
        <v>19</v>
      </c>
      <c r="B299" s="121" t="s">
        <v>65</v>
      </c>
      <c r="C299" s="128">
        <v>3611</v>
      </c>
      <c r="D299" s="117">
        <v>3611</v>
      </c>
      <c r="E299" s="117">
        <v>3611</v>
      </c>
      <c r="F299" s="117">
        <v>3611</v>
      </c>
      <c r="G299" s="118">
        <v>3611</v>
      </c>
      <c r="H299" s="118">
        <v>3611</v>
      </c>
      <c r="I299" s="42"/>
      <c r="J299" s="43"/>
      <c r="K299" s="42"/>
      <c r="L299" s="42"/>
      <c r="M299" s="42"/>
      <c r="N299" s="42"/>
      <c r="O299" s="42"/>
    </row>
    <row r="300" spans="1:15" ht="32" thickTop="1" thickBot="1" x14ac:dyDescent="0.4">
      <c r="A300" s="135">
        <v>20</v>
      </c>
      <c r="B300" s="123" t="s">
        <v>127</v>
      </c>
      <c r="C300" s="131">
        <v>13</v>
      </c>
      <c r="D300" s="125">
        <v>16</v>
      </c>
      <c r="E300" s="125">
        <v>18</v>
      </c>
      <c r="F300" s="125">
        <v>20</v>
      </c>
      <c r="G300" s="136">
        <v>25</v>
      </c>
      <c r="H300" s="136">
        <v>35</v>
      </c>
      <c r="I300" s="42"/>
      <c r="J300" s="43"/>
      <c r="K300" s="42"/>
      <c r="L300" s="42"/>
      <c r="M300" s="42"/>
      <c r="N300" s="42"/>
      <c r="O300" s="42"/>
    </row>
    <row r="301" spans="1:15" ht="31.5" thickBot="1" x14ac:dyDescent="0.4">
      <c r="A301" s="207">
        <v>21</v>
      </c>
      <c r="B301" s="121" t="s">
        <v>128</v>
      </c>
      <c r="C301" s="118">
        <v>20.7</v>
      </c>
      <c r="D301" s="117">
        <v>23.9</v>
      </c>
      <c r="E301" s="117">
        <v>26.2</v>
      </c>
      <c r="F301" s="117">
        <v>28.1</v>
      </c>
      <c r="G301" s="118">
        <v>32.799999999999997</v>
      </c>
      <c r="H301" s="118">
        <v>42.5</v>
      </c>
      <c r="I301" s="42"/>
      <c r="J301" s="43"/>
      <c r="K301" s="42"/>
      <c r="L301" s="42"/>
      <c r="M301" s="42"/>
      <c r="N301" s="42"/>
      <c r="O301" s="42"/>
    </row>
    <row r="302" spans="1:15" ht="31.5" thickTop="1" x14ac:dyDescent="0.35">
      <c r="A302" s="207">
        <v>22</v>
      </c>
      <c r="B302" s="59" t="s">
        <v>129</v>
      </c>
      <c r="C302" s="99"/>
      <c r="D302" s="139"/>
      <c r="E302" s="139"/>
      <c r="F302" s="99"/>
      <c r="G302" s="139"/>
      <c r="H302" s="139"/>
      <c r="I302" s="42"/>
      <c r="J302" s="43"/>
      <c r="K302" s="42"/>
      <c r="L302" s="42"/>
      <c r="M302" s="42"/>
      <c r="N302" s="42"/>
      <c r="O302" s="42"/>
    </row>
    <row r="303" spans="1:15" ht="16" thickBot="1" x14ac:dyDescent="0.4">
      <c r="A303" s="208"/>
      <c r="B303" s="123" t="s">
        <v>130</v>
      </c>
      <c r="C303" s="131">
        <v>34.700000000000003</v>
      </c>
      <c r="D303" s="125">
        <v>38.1</v>
      </c>
      <c r="E303" s="125">
        <v>40.700000000000003</v>
      </c>
      <c r="F303" s="125">
        <v>42.6</v>
      </c>
      <c r="G303" s="131">
        <v>47</v>
      </c>
      <c r="H303" s="131">
        <v>56.3</v>
      </c>
      <c r="I303" s="42"/>
      <c r="J303" s="43"/>
      <c r="K303" s="42"/>
      <c r="L303" s="42"/>
      <c r="M303" s="42"/>
      <c r="N303" s="42"/>
      <c r="O303" s="42"/>
    </row>
    <row r="304" spans="1:15" ht="31.5" thickBot="1" x14ac:dyDescent="0.4">
      <c r="A304" s="134">
        <v>23</v>
      </c>
      <c r="B304" s="121" t="s">
        <v>131</v>
      </c>
      <c r="C304" s="117" t="s">
        <v>182</v>
      </c>
      <c r="D304" s="117" t="s">
        <v>182</v>
      </c>
      <c r="E304" s="117" t="s">
        <v>182</v>
      </c>
      <c r="F304" s="117" t="s">
        <v>182</v>
      </c>
      <c r="G304" s="117" t="s">
        <v>182</v>
      </c>
      <c r="H304" s="117" t="s">
        <v>182</v>
      </c>
      <c r="I304" s="42"/>
      <c r="J304" s="43"/>
      <c r="K304" s="42"/>
      <c r="L304" s="42"/>
      <c r="M304" s="42"/>
      <c r="N304" s="42"/>
      <c r="O304" s="42"/>
    </row>
    <row r="305" spans="1:15" ht="31.5" thickTop="1" x14ac:dyDescent="0.35">
      <c r="A305" s="289">
        <v>24</v>
      </c>
      <c r="B305" s="59" t="s">
        <v>132</v>
      </c>
      <c r="C305" s="99"/>
      <c r="D305" s="139"/>
      <c r="E305" s="139"/>
      <c r="F305" s="139"/>
      <c r="G305" s="99"/>
      <c r="H305" s="99"/>
      <c r="I305" s="42"/>
      <c r="J305" s="43"/>
      <c r="K305" s="42"/>
      <c r="L305" s="42"/>
      <c r="M305" s="42"/>
      <c r="N305" s="42"/>
      <c r="O305" s="42"/>
    </row>
    <row r="306" spans="1:15" ht="31.5" thickBot="1" x14ac:dyDescent="0.4">
      <c r="A306" s="288"/>
      <c r="B306" s="121" t="s">
        <v>72</v>
      </c>
      <c r="C306" s="118">
        <v>34.700000000000003</v>
      </c>
      <c r="D306" s="117">
        <v>38.1</v>
      </c>
      <c r="E306" s="117">
        <v>40.700000000000003</v>
      </c>
      <c r="F306" s="117">
        <v>54.8</v>
      </c>
      <c r="G306" s="118">
        <v>47</v>
      </c>
      <c r="H306" s="118">
        <v>56.3</v>
      </c>
      <c r="I306" s="42"/>
      <c r="J306" s="43"/>
      <c r="K306" s="42"/>
      <c r="L306" s="42"/>
      <c r="M306" s="42"/>
      <c r="N306" s="42"/>
      <c r="O306" s="42"/>
    </row>
    <row r="307" spans="1:15" ht="31.5" thickTop="1" x14ac:dyDescent="0.35">
      <c r="A307" s="289">
        <v>25</v>
      </c>
      <c r="B307" s="59" t="s">
        <v>133</v>
      </c>
      <c r="C307" s="99"/>
      <c r="D307" s="139"/>
      <c r="E307" s="139"/>
      <c r="F307" s="99"/>
      <c r="G307" s="139"/>
      <c r="H307" s="139"/>
      <c r="I307" s="42"/>
      <c r="J307" s="43"/>
      <c r="K307" s="42"/>
      <c r="L307" s="42"/>
      <c r="M307" s="42"/>
      <c r="N307" s="42"/>
      <c r="O307" s="42"/>
    </row>
    <row r="308" spans="1:15" ht="16" thickBot="1" x14ac:dyDescent="0.4">
      <c r="A308" s="288"/>
      <c r="B308" s="121" t="s">
        <v>76</v>
      </c>
      <c r="C308" s="128">
        <v>52.85</v>
      </c>
      <c r="D308" s="117">
        <v>54.02</v>
      </c>
      <c r="E308" s="117">
        <v>55.86</v>
      </c>
      <c r="F308" s="117">
        <v>55.68</v>
      </c>
      <c r="G308" s="118">
        <v>53.64</v>
      </c>
      <c r="H308" s="118">
        <v>50.76</v>
      </c>
      <c r="I308" s="42"/>
      <c r="J308" s="43"/>
      <c r="K308" s="42"/>
      <c r="L308" s="42"/>
      <c r="M308" s="42"/>
      <c r="N308" s="42"/>
      <c r="O308" s="42"/>
    </row>
    <row r="309" spans="1:15" ht="31.5" thickTop="1" x14ac:dyDescent="0.35">
      <c r="A309" s="289">
        <v>26</v>
      </c>
      <c r="B309" s="59" t="s">
        <v>75</v>
      </c>
      <c r="C309" s="99"/>
      <c r="D309" s="139"/>
      <c r="E309" s="139"/>
      <c r="F309" s="99"/>
      <c r="G309" s="139"/>
      <c r="H309" s="139"/>
      <c r="I309" s="42"/>
      <c r="J309" s="43"/>
      <c r="K309" s="42"/>
      <c r="L309" s="42"/>
      <c r="M309" s="42"/>
      <c r="N309" s="42"/>
      <c r="O309" s="42"/>
    </row>
    <row r="310" spans="1:15" ht="16" thickBot="1" x14ac:dyDescent="0.4">
      <c r="A310" s="288"/>
      <c r="B310" s="121" t="s">
        <v>76</v>
      </c>
      <c r="C310" s="128">
        <v>63.78</v>
      </c>
      <c r="D310" s="117">
        <v>61.98</v>
      </c>
      <c r="E310" s="117">
        <v>61.82</v>
      </c>
      <c r="F310" s="117">
        <v>59.94</v>
      </c>
      <c r="G310" s="118">
        <v>54.51</v>
      </c>
      <c r="H310" s="118">
        <v>67.7</v>
      </c>
      <c r="I310" s="42"/>
      <c r="J310" s="43"/>
      <c r="K310" s="42"/>
      <c r="L310" s="42"/>
      <c r="M310" s="42"/>
      <c r="N310" s="42"/>
      <c r="O310" s="42"/>
    </row>
    <row r="311" spans="1:15" ht="29" thickTop="1" thickBot="1" x14ac:dyDescent="0.4">
      <c r="A311" s="134">
        <v>27</v>
      </c>
      <c r="B311" s="75" t="s">
        <v>161</v>
      </c>
      <c r="C311" s="128">
        <v>14.37</v>
      </c>
      <c r="D311" s="117">
        <v>12.29</v>
      </c>
      <c r="E311" s="117">
        <v>10.94</v>
      </c>
      <c r="F311" s="117">
        <v>9.66</v>
      </c>
      <c r="G311" s="118">
        <v>6.83</v>
      </c>
      <c r="H311" s="118">
        <v>16.940000000000001</v>
      </c>
      <c r="I311" s="42"/>
      <c r="J311" s="43"/>
      <c r="K311" s="42"/>
      <c r="L311" s="42"/>
      <c r="M311" s="42"/>
      <c r="N311" s="42"/>
      <c r="O311" s="42"/>
    </row>
    <row r="312" spans="1:15" ht="32" thickTop="1" thickBot="1" x14ac:dyDescent="0.4">
      <c r="A312" s="135">
        <v>28</v>
      </c>
      <c r="B312" s="123" t="s">
        <v>211</v>
      </c>
      <c r="C312" s="131">
        <v>3.44</v>
      </c>
      <c r="D312" s="125">
        <v>4.32</v>
      </c>
      <c r="E312" s="125">
        <v>4.97</v>
      </c>
      <c r="F312" s="125">
        <v>5.4</v>
      </c>
      <c r="G312" s="131">
        <v>5.96</v>
      </c>
      <c r="H312" s="125">
        <v>0</v>
      </c>
      <c r="I312" s="42"/>
      <c r="J312" s="43"/>
      <c r="K312" s="42"/>
      <c r="L312" s="42"/>
      <c r="M312" s="42"/>
      <c r="N312" s="42"/>
      <c r="O312" s="42"/>
    </row>
    <row r="313" spans="1:15" ht="31" x14ac:dyDescent="0.35">
      <c r="A313" s="287">
        <v>29</v>
      </c>
      <c r="B313" s="59" t="s">
        <v>136</v>
      </c>
      <c r="C313" s="139"/>
      <c r="D313" s="139"/>
      <c r="E313" s="139"/>
      <c r="F313" s="139"/>
      <c r="G313" s="139"/>
      <c r="H313" s="139"/>
      <c r="I313" s="42"/>
      <c r="J313" s="43"/>
      <c r="K313" s="42"/>
      <c r="L313" s="42"/>
      <c r="M313" s="42"/>
      <c r="N313" s="42"/>
      <c r="O313" s="42"/>
    </row>
    <row r="314" spans="1:15" ht="31.5" thickBot="1" x14ac:dyDescent="0.4">
      <c r="A314" s="290"/>
      <c r="B314" s="123" t="s">
        <v>137</v>
      </c>
      <c r="C314" s="131">
        <v>60</v>
      </c>
      <c r="D314" s="125">
        <v>60</v>
      </c>
      <c r="E314" s="125">
        <v>60</v>
      </c>
      <c r="F314" s="125">
        <v>60</v>
      </c>
      <c r="G314" s="126">
        <v>60</v>
      </c>
      <c r="H314" s="209">
        <v>60</v>
      </c>
      <c r="I314" s="42"/>
      <c r="J314" s="43"/>
      <c r="K314" s="42"/>
      <c r="L314" s="42"/>
      <c r="M314" s="42"/>
      <c r="N314" s="42"/>
      <c r="O314" s="42"/>
    </row>
    <row r="315" spans="1:15" ht="31" x14ac:dyDescent="0.35">
      <c r="A315" s="287">
        <v>30</v>
      </c>
      <c r="B315" s="59" t="s">
        <v>129</v>
      </c>
      <c r="C315" s="403">
        <v>138.9</v>
      </c>
      <c r="D315" s="139"/>
      <c r="E315" s="139"/>
      <c r="F315" s="139"/>
      <c r="G315" s="139"/>
      <c r="H315" s="139"/>
      <c r="I315" s="42"/>
      <c r="J315" s="43"/>
      <c r="K315" s="42"/>
      <c r="L315" s="42"/>
      <c r="M315" s="42"/>
      <c r="N315" s="42"/>
      <c r="O315" s="42"/>
    </row>
    <row r="316" spans="1:15" ht="31.5" thickBot="1" x14ac:dyDescent="0.4">
      <c r="A316" s="290"/>
      <c r="B316" s="123" t="s">
        <v>212</v>
      </c>
      <c r="C316" s="404"/>
      <c r="D316" s="125">
        <v>139.1</v>
      </c>
      <c r="E316" s="125">
        <v>139.4</v>
      </c>
      <c r="F316" s="125">
        <v>139.30000000000001</v>
      </c>
      <c r="G316" s="131">
        <v>138.6</v>
      </c>
      <c r="H316" s="131">
        <v>137.69999999999999</v>
      </c>
      <c r="I316" s="42"/>
      <c r="J316" s="43"/>
      <c r="K316" s="42"/>
      <c r="L316" s="42"/>
      <c r="M316" s="42"/>
      <c r="N316" s="42"/>
      <c r="O316" s="42"/>
    </row>
    <row r="317" spans="1:15" ht="31.5" thickBot="1" x14ac:dyDescent="0.4">
      <c r="A317" s="134">
        <v>31</v>
      </c>
      <c r="B317" s="121" t="s">
        <v>139</v>
      </c>
      <c r="C317" s="128">
        <v>166</v>
      </c>
      <c r="D317" s="117">
        <v>166</v>
      </c>
      <c r="E317" s="117">
        <v>166.1</v>
      </c>
      <c r="F317" s="117">
        <v>166.1</v>
      </c>
      <c r="G317" s="118">
        <v>166</v>
      </c>
      <c r="H317" s="118">
        <v>166</v>
      </c>
      <c r="I317" s="42"/>
      <c r="J317" s="43"/>
      <c r="K317" s="42"/>
      <c r="L317" s="42"/>
      <c r="M317" s="42"/>
      <c r="N317" s="42"/>
      <c r="O317" s="42"/>
    </row>
    <row r="318" spans="1:15" ht="32" thickTop="1" thickBot="1" x14ac:dyDescent="0.4">
      <c r="A318" s="135">
        <v>32</v>
      </c>
      <c r="B318" s="123" t="s">
        <v>83</v>
      </c>
      <c r="C318" s="126">
        <v>272</v>
      </c>
      <c r="D318" s="125">
        <v>272.3</v>
      </c>
      <c r="E318" s="125">
        <v>275.5</v>
      </c>
      <c r="F318" s="125">
        <v>275.3</v>
      </c>
      <c r="G318" s="131">
        <v>272.7</v>
      </c>
      <c r="H318" s="131">
        <v>270.10000000000002</v>
      </c>
      <c r="I318" s="42"/>
      <c r="J318" s="43"/>
      <c r="K318" s="42"/>
      <c r="L318" s="42"/>
      <c r="M318" s="42"/>
      <c r="N318" s="42"/>
      <c r="O318" s="42"/>
    </row>
    <row r="319" spans="1:15" ht="31.5" thickBot="1" x14ac:dyDescent="0.4">
      <c r="A319" s="134">
        <v>33</v>
      </c>
      <c r="B319" s="121" t="s">
        <v>84</v>
      </c>
      <c r="C319" s="128">
        <v>5.6740000000000004</v>
      </c>
      <c r="D319" s="117">
        <v>5.8230000000000004</v>
      </c>
      <c r="E319" s="117">
        <v>6.0490000000000004</v>
      </c>
      <c r="F319" s="117">
        <v>6.05</v>
      </c>
      <c r="G319" s="118">
        <v>5.9020000000000001</v>
      </c>
      <c r="H319" s="118">
        <v>5.7169999999999996</v>
      </c>
      <c r="I319" s="42"/>
      <c r="J319" s="43"/>
      <c r="K319" s="42"/>
      <c r="L319" s="42"/>
      <c r="M319" s="42"/>
      <c r="N319" s="42"/>
      <c r="O319" s="42"/>
    </row>
    <row r="320" spans="1:15" ht="32" thickTop="1" thickBot="1" x14ac:dyDescent="0.4">
      <c r="A320" s="135">
        <v>34</v>
      </c>
      <c r="B320" s="123" t="s">
        <v>85</v>
      </c>
      <c r="C320" s="126">
        <v>0.46300000000000002</v>
      </c>
      <c r="D320" s="125">
        <v>0.46400000000000002</v>
      </c>
      <c r="E320" s="125">
        <v>0.46800000000000003</v>
      </c>
      <c r="F320" s="125">
        <v>0.46700000000000003</v>
      </c>
      <c r="G320" s="131">
        <v>0.45800000000000002</v>
      </c>
      <c r="H320" s="131">
        <v>0.44700000000000001</v>
      </c>
      <c r="I320" s="42"/>
      <c r="J320" s="43"/>
      <c r="K320" s="42"/>
      <c r="L320" s="42"/>
      <c r="M320" s="42"/>
      <c r="N320" s="42"/>
      <c r="O320" s="42"/>
    </row>
    <row r="321" spans="1:15" x14ac:dyDescent="0.35">
      <c r="A321" s="42"/>
      <c r="B321" s="42"/>
      <c r="C321" s="42"/>
      <c r="D321" s="42"/>
      <c r="E321" s="42"/>
      <c r="F321" s="42"/>
      <c r="G321" s="42"/>
      <c r="H321" s="42"/>
      <c r="I321" s="42"/>
      <c r="J321" s="43"/>
      <c r="K321" s="42"/>
      <c r="L321" s="42"/>
      <c r="M321" s="42"/>
      <c r="N321" s="42"/>
      <c r="O321" s="42"/>
    </row>
    <row r="322" spans="1:15" ht="16" thickBot="1" x14ac:dyDescent="0.4">
      <c r="A322" s="129" t="s">
        <v>216</v>
      </c>
      <c r="B322" s="42"/>
      <c r="C322" s="42"/>
      <c r="D322" s="42"/>
      <c r="E322" s="42"/>
      <c r="F322" s="42"/>
      <c r="G322" s="42"/>
      <c r="H322" s="42"/>
      <c r="I322" s="42"/>
      <c r="J322" s="43"/>
      <c r="K322" s="42"/>
      <c r="L322" s="42"/>
      <c r="M322" s="42"/>
      <c r="N322" s="42"/>
      <c r="O322" s="42"/>
    </row>
    <row r="323" spans="1:15" ht="16" thickTop="1" thickBot="1" x14ac:dyDescent="0.4">
      <c r="A323" s="302" t="s">
        <v>86</v>
      </c>
      <c r="B323" s="303"/>
      <c r="C323" s="303"/>
      <c r="D323" s="303"/>
      <c r="E323" s="303"/>
      <c r="F323" s="303"/>
      <c r="G323" s="303"/>
      <c r="H323" s="304"/>
      <c r="I323" s="42"/>
      <c r="J323" s="43"/>
      <c r="K323" s="42"/>
      <c r="L323" s="42"/>
      <c r="M323" s="42"/>
      <c r="N323" s="42"/>
      <c r="O323" s="42"/>
    </row>
    <row r="324" spans="1:15" ht="16.5" thickTop="1" thickBot="1" x14ac:dyDescent="0.4">
      <c r="A324" s="134">
        <v>35</v>
      </c>
      <c r="B324" s="121" t="s">
        <v>87</v>
      </c>
      <c r="C324" s="117">
        <v>84.5</v>
      </c>
      <c r="D324" s="117">
        <v>84.5</v>
      </c>
      <c r="E324" s="117">
        <v>84.5</v>
      </c>
      <c r="F324" s="117">
        <v>82.6</v>
      </c>
      <c r="G324" s="117">
        <v>74.7</v>
      </c>
      <c r="H324" s="117">
        <v>64.5</v>
      </c>
      <c r="I324" s="42"/>
      <c r="J324" s="43"/>
      <c r="K324" s="42"/>
      <c r="L324" s="42"/>
      <c r="M324" s="42"/>
      <c r="N324" s="42"/>
      <c r="O324" s="42"/>
    </row>
    <row r="325" spans="1:15" ht="16.5" thickTop="1" thickBot="1" x14ac:dyDescent="0.4">
      <c r="A325" s="135">
        <v>36</v>
      </c>
      <c r="B325" s="123" t="s">
        <v>88</v>
      </c>
      <c r="C325" s="125">
        <v>49.91</v>
      </c>
      <c r="D325" s="125">
        <v>50.47</v>
      </c>
      <c r="E325" s="125">
        <v>51.95</v>
      </c>
      <c r="F325" s="125">
        <v>51.46</v>
      </c>
      <c r="G325" s="125">
        <v>49.45</v>
      </c>
      <c r="H325" s="125">
        <v>45.19</v>
      </c>
      <c r="I325" s="42"/>
      <c r="J325" s="43"/>
      <c r="K325" s="42"/>
      <c r="L325" s="42"/>
      <c r="M325" s="42"/>
      <c r="N325" s="42"/>
      <c r="O325" s="42"/>
    </row>
    <row r="326" spans="1:15" ht="31.5" thickBot="1" x14ac:dyDescent="0.4">
      <c r="A326" s="134">
        <v>37</v>
      </c>
      <c r="B326" s="121" t="s">
        <v>89</v>
      </c>
      <c r="C326" s="117">
        <v>134.4</v>
      </c>
      <c r="D326" s="117">
        <v>135</v>
      </c>
      <c r="E326" s="117">
        <v>136.5</v>
      </c>
      <c r="F326" s="117">
        <v>134.1</v>
      </c>
      <c r="G326" s="117">
        <v>124.2</v>
      </c>
      <c r="H326" s="117">
        <v>109.69</v>
      </c>
      <c r="I326" s="42"/>
      <c r="J326" s="43"/>
      <c r="K326" s="42"/>
      <c r="L326" s="42"/>
      <c r="M326" s="42"/>
      <c r="N326" s="42"/>
      <c r="O326" s="42"/>
    </row>
    <row r="327" spans="1:15" ht="32" thickTop="1" thickBot="1" x14ac:dyDescent="0.4">
      <c r="A327" s="295">
        <v>38</v>
      </c>
      <c r="B327" s="121" t="s">
        <v>140</v>
      </c>
      <c r="C327" s="117">
        <v>0</v>
      </c>
      <c r="D327" s="117">
        <v>0</v>
      </c>
      <c r="E327" s="117">
        <v>0</v>
      </c>
      <c r="F327" s="117">
        <v>0</v>
      </c>
      <c r="G327" s="117">
        <v>0</v>
      </c>
      <c r="H327" s="117">
        <v>0</v>
      </c>
      <c r="I327" s="42"/>
      <c r="J327" s="43"/>
      <c r="K327" s="42"/>
      <c r="L327" s="42"/>
      <c r="M327" s="42"/>
      <c r="N327" s="42"/>
      <c r="O327" s="42"/>
    </row>
    <row r="328" spans="1:15" ht="16.5" thickTop="1" thickBot="1" x14ac:dyDescent="0.4">
      <c r="A328" s="294"/>
      <c r="B328" s="128" t="s">
        <v>91</v>
      </c>
      <c r="C328" s="117">
        <v>0</v>
      </c>
      <c r="D328" s="117">
        <v>0</v>
      </c>
      <c r="E328" s="117">
        <v>0</v>
      </c>
      <c r="F328" s="117">
        <v>0</v>
      </c>
      <c r="G328" s="117">
        <v>0</v>
      </c>
      <c r="H328" s="117">
        <v>0</v>
      </c>
      <c r="I328" s="42"/>
      <c r="J328" s="43"/>
      <c r="K328" s="42"/>
      <c r="L328" s="42"/>
      <c r="M328" s="42"/>
      <c r="N328" s="42"/>
      <c r="O328" s="42"/>
    </row>
    <row r="329" spans="1:15" ht="32" thickTop="1" thickBot="1" x14ac:dyDescent="0.4">
      <c r="A329" s="295">
        <v>39</v>
      </c>
      <c r="B329" s="123" t="s">
        <v>141</v>
      </c>
      <c r="C329" s="125">
        <v>0</v>
      </c>
      <c r="D329" s="125">
        <v>0</v>
      </c>
      <c r="E329" s="125">
        <v>0</v>
      </c>
      <c r="F329" s="125">
        <v>0</v>
      </c>
      <c r="G329" s="125">
        <v>0</v>
      </c>
      <c r="H329" s="125">
        <v>0</v>
      </c>
      <c r="I329" s="42"/>
      <c r="J329" s="43"/>
      <c r="K329" s="42"/>
      <c r="L329" s="42"/>
      <c r="M329" s="42"/>
      <c r="N329" s="42"/>
      <c r="O329" s="42"/>
    </row>
    <row r="330" spans="1:15" ht="16" thickBot="1" x14ac:dyDescent="0.4">
      <c r="A330" s="294"/>
      <c r="B330" s="128" t="s">
        <v>91</v>
      </c>
      <c r="C330" s="117">
        <v>0</v>
      </c>
      <c r="D330" s="117">
        <v>0</v>
      </c>
      <c r="E330" s="117">
        <v>0</v>
      </c>
      <c r="F330" s="117">
        <v>0</v>
      </c>
      <c r="G330" s="117">
        <v>0</v>
      </c>
      <c r="H330" s="117">
        <v>0</v>
      </c>
      <c r="I330" s="42"/>
      <c r="J330" s="43"/>
      <c r="K330" s="42"/>
      <c r="L330" s="42"/>
      <c r="M330" s="42"/>
      <c r="N330" s="42"/>
      <c r="O330" s="42"/>
    </row>
    <row r="331" spans="1:15" ht="32" thickTop="1" thickBot="1" x14ac:dyDescent="0.4">
      <c r="A331" s="295">
        <v>40</v>
      </c>
      <c r="B331" s="121" t="s">
        <v>142</v>
      </c>
      <c r="C331" s="117">
        <v>0</v>
      </c>
      <c r="D331" s="117">
        <v>0</v>
      </c>
      <c r="E331" s="117">
        <v>0</v>
      </c>
      <c r="F331" s="117">
        <v>0</v>
      </c>
      <c r="G331" s="117">
        <v>0</v>
      </c>
      <c r="H331" s="117">
        <v>0</v>
      </c>
      <c r="I331" s="42"/>
      <c r="J331" s="43"/>
      <c r="K331" s="42"/>
      <c r="L331" s="42"/>
      <c r="M331" s="42"/>
      <c r="N331" s="42"/>
      <c r="O331" s="42"/>
    </row>
    <row r="332" spans="1:15" ht="16.5" thickTop="1" thickBot="1" x14ac:dyDescent="0.4">
      <c r="A332" s="294"/>
      <c r="B332" s="128" t="s">
        <v>91</v>
      </c>
      <c r="C332" s="117">
        <v>0</v>
      </c>
      <c r="D332" s="117">
        <v>0</v>
      </c>
      <c r="E332" s="117">
        <v>0</v>
      </c>
      <c r="F332" s="117">
        <v>0</v>
      </c>
      <c r="G332" s="117">
        <v>0</v>
      </c>
      <c r="H332" s="117">
        <v>0</v>
      </c>
      <c r="I332" s="42"/>
      <c r="J332" s="43"/>
      <c r="K332" s="42"/>
      <c r="L332" s="42"/>
      <c r="M332" s="42"/>
      <c r="N332" s="42"/>
      <c r="O332" s="42"/>
    </row>
    <row r="333" spans="1:15" ht="32" thickTop="1" thickBot="1" x14ac:dyDescent="0.4">
      <c r="A333" s="295">
        <v>41</v>
      </c>
      <c r="B333" s="123" t="s">
        <v>143</v>
      </c>
      <c r="C333" s="125">
        <v>0</v>
      </c>
      <c r="D333" s="125">
        <v>0</v>
      </c>
      <c r="E333" s="125">
        <v>0</v>
      </c>
      <c r="F333" s="125">
        <v>0</v>
      </c>
      <c r="G333" s="125">
        <v>0</v>
      </c>
      <c r="H333" s="125">
        <v>0</v>
      </c>
      <c r="I333" s="42"/>
      <c r="J333" s="43"/>
      <c r="K333" s="42"/>
      <c r="L333" s="42"/>
      <c r="M333" s="42"/>
      <c r="N333" s="42"/>
      <c r="O333" s="42"/>
    </row>
    <row r="334" spans="1:15" ht="16" thickBot="1" x14ac:dyDescent="0.4">
      <c r="A334" s="293"/>
      <c r="B334" s="126" t="s">
        <v>91</v>
      </c>
      <c r="C334" s="125">
        <v>0</v>
      </c>
      <c r="D334" s="125">
        <v>0</v>
      </c>
      <c r="E334" s="125">
        <v>0</v>
      </c>
      <c r="F334" s="125">
        <v>0</v>
      </c>
      <c r="G334" s="125">
        <v>0</v>
      </c>
      <c r="H334" s="125">
        <v>0</v>
      </c>
      <c r="I334" s="42"/>
      <c r="J334" s="43"/>
      <c r="K334" s="42"/>
      <c r="L334" s="42"/>
      <c r="M334" s="42"/>
      <c r="N334" s="42"/>
      <c r="O334" s="42"/>
    </row>
    <row r="335" spans="1:15" ht="16.5" x14ac:dyDescent="0.35">
      <c r="A335" s="161"/>
      <c r="B335" s="139"/>
      <c r="C335" s="139"/>
      <c r="D335" s="139"/>
      <c r="E335" s="139"/>
      <c r="F335" s="139"/>
      <c r="G335" s="139"/>
      <c r="H335" s="139"/>
      <c r="I335" s="42"/>
      <c r="J335" s="43"/>
      <c r="K335" s="42"/>
      <c r="L335" s="42"/>
      <c r="M335" s="42"/>
      <c r="N335" s="42"/>
      <c r="O335" s="42"/>
    </row>
    <row r="336" spans="1:15" ht="31.5" thickBot="1" x14ac:dyDescent="0.4">
      <c r="A336" s="207">
        <v>42</v>
      </c>
      <c r="B336" s="121" t="s">
        <v>144</v>
      </c>
      <c r="C336" s="117">
        <v>0</v>
      </c>
      <c r="D336" s="117">
        <v>0</v>
      </c>
      <c r="E336" s="117">
        <v>0</v>
      </c>
      <c r="F336" s="117">
        <v>0</v>
      </c>
      <c r="G336" s="117">
        <v>0</v>
      </c>
      <c r="H336" s="117">
        <v>0</v>
      </c>
      <c r="I336" s="42"/>
      <c r="J336" s="43"/>
      <c r="K336" s="42"/>
      <c r="L336" s="42"/>
      <c r="M336" s="42"/>
      <c r="N336" s="42"/>
      <c r="O336" s="42"/>
    </row>
    <row r="337" spans="1:15" ht="16.5" thickTop="1" thickBot="1" x14ac:dyDescent="0.4">
      <c r="A337" s="208"/>
      <c r="B337" s="126" t="s">
        <v>90</v>
      </c>
      <c r="C337" s="125">
        <v>0</v>
      </c>
      <c r="D337" s="125">
        <v>0</v>
      </c>
      <c r="E337" s="125">
        <v>0</v>
      </c>
      <c r="F337" s="125">
        <v>0</v>
      </c>
      <c r="G337" s="125">
        <v>0</v>
      </c>
      <c r="H337" s="125">
        <v>0</v>
      </c>
      <c r="I337" s="42"/>
      <c r="J337" s="43"/>
      <c r="K337" s="42"/>
      <c r="L337" s="42"/>
      <c r="M337" s="42"/>
      <c r="N337" s="42"/>
      <c r="O337" s="42"/>
    </row>
    <row r="338" spans="1:15" ht="16" thickBot="1" x14ac:dyDescent="0.4">
      <c r="A338" s="135">
        <v>43</v>
      </c>
      <c r="B338" s="123" t="s">
        <v>146</v>
      </c>
      <c r="C338" s="125">
        <v>37.32</v>
      </c>
      <c r="D338" s="125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  <c r="I338" s="42"/>
      <c r="J338" s="43"/>
      <c r="K338" s="42"/>
      <c r="L338" s="42"/>
      <c r="M338" s="42"/>
      <c r="N338" s="42"/>
      <c r="O338" s="42"/>
    </row>
    <row r="339" spans="1:15" ht="31" x14ac:dyDescent="0.35">
      <c r="A339" s="287">
        <v>44</v>
      </c>
      <c r="B339" s="59" t="s">
        <v>226</v>
      </c>
      <c r="C339" s="139"/>
      <c r="D339" s="139"/>
      <c r="E339" s="139"/>
      <c r="F339" s="139"/>
      <c r="G339" s="139"/>
      <c r="H339" s="139"/>
      <c r="I339" s="42"/>
      <c r="J339" s="43"/>
      <c r="K339" s="42"/>
      <c r="L339" s="42"/>
      <c r="M339" s="42"/>
      <c r="N339" s="42"/>
      <c r="O339" s="42"/>
    </row>
    <row r="340" spans="1:15" ht="31.5" thickBot="1" x14ac:dyDescent="0.4">
      <c r="A340" s="288"/>
      <c r="B340" s="121" t="s">
        <v>227</v>
      </c>
      <c r="C340" s="117">
        <v>150</v>
      </c>
      <c r="D340" s="117">
        <v>150</v>
      </c>
      <c r="E340" s="117">
        <v>150</v>
      </c>
      <c r="F340" s="117">
        <v>150</v>
      </c>
      <c r="G340" s="117">
        <v>150</v>
      </c>
      <c r="H340" s="117">
        <v>150</v>
      </c>
      <c r="I340" s="42"/>
      <c r="J340" s="43"/>
      <c r="K340" s="42"/>
      <c r="L340" s="42"/>
      <c r="M340" s="42"/>
      <c r="N340" s="42"/>
      <c r="O340" s="42"/>
    </row>
    <row r="341" spans="1:15" ht="31.5" thickTop="1" x14ac:dyDescent="0.35">
      <c r="A341" s="289">
        <v>45</v>
      </c>
      <c r="B341" s="59" t="s">
        <v>147</v>
      </c>
      <c r="C341" s="119"/>
      <c r="D341" s="119"/>
      <c r="E341" s="119"/>
      <c r="F341" s="119"/>
      <c r="G341" s="119"/>
      <c r="H341" s="119"/>
      <c r="I341" s="42"/>
      <c r="J341" s="43"/>
      <c r="K341" s="42"/>
      <c r="L341" s="42"/>
      <c r="M341" s="42"/>
      <c r="N341" s="42"/>
      <c r="O341" s="42"/>
    </row>
    <row r="342" spans="1:15" ht="16" thickBot="1" x14ac:dyDescent="0.4">
      <c r="A342" s="290"/>
      <c r="B342" s="123" t="s">
        <v>97</v>
      </c>
      <c r="C342" s="125">
        <v>0</v>
      </c>
      <c r="D342" s="125">
        <v>0</v>
      </c>
      <c r="E342" s="125">
        <v>0</v>
      </c>
      <c r="F342" s="125">
        <v>0</v>
      </c>
      <c r="G342" s="125">
        <v>0</v>
      </c>
      <c r="H342" s="125">
        <v>0</v>
      </c>
      <c r="I342" s="42"/>
      <c r="J342" s="43"/>
      <c r="K342" s="42"/>
      <c r="L342" s="42"/>
      <c r="M342" s="42"/>
      <c r="N342" s="42"/>
      <c r="O342" s="42"/>
    </row>
    <row r="343" spans="1:15" ht="31" x14ac:dyDescent="0.35">
      <c r="A343" s="287">
        <v>46</v>
      </c>
      <c r="B343" s="59" t="s">
        <v>147</v>
      </c>
      <c r="C343" s="139"/>
      <c r="D343" s="139"/>
      <c r="E343" s="139"/>
      <c r="F343" s="139"/>
      <c r="G343" s="139"/>
      <c r="H343" s="139"/>
      <c r="I343" s="42"/>
      <c r="J343" s="43"/>
      <c r="K343" s="42"/>
      <c r="L343" s="42"/>
      <c r="M343" s="42"/>
      <c r="N343" s="42"/>
      <c r="O343" s="42"/>
    </row>
    <row r="344" spans="1:15" ht="16" thickBot="1" x14ac:dyDescent="0.4">
      <c r="A344" s="288"/>
      <c r="B344" s="121" t="s">
        <v>98</v>
      </c>
      <c r="C344" s="117">
        <v>37.32</v>
      </c>
      <c r="D344" s="117">
        <v>37.32</v>
      </c>
      <c r="E344" s="117">
        <v>37.380000000000003</v>
      </c>
      <c r="F344" s="117">
        <v>36.72</v>
      </c>
      <c r="G344" s="117">
        <v>33.94</v>
      </c>
      <c r="H344" s="117">
        <v>30.57</v>
      </c>
      <c r="I344" s="42"/>
      <c r="J344" s="43"/>
      <c r="K344" s="42"/>
      <c r="L344" s="42"/>
      <c r="M344" s="42"/>
      <c r="N344" s="42"/>
      <c r="O344" s="42"/>
    </row>
    <row r="345" spans="1:15" ht="31.5" thickTop="1" x14ac:dyDescent="0.35">
      <c r="A345" s="289">
        <v>47</v>
      </c>
      <c r="B345" s="59" t="s">
        <v>228</v>
      </c>
      <c r="C345" s="99"/>
      <c r="D345" s="139"/>
      <c r="E345" s="139"/>
      <c r="F345" s="139"/>
      <c r="G345" s="139"/>
      <c r="H345" s="139"/>
      <c r="I345" s="42"/>
      <c r="J345" s="43"/>
      <c r="K345" s="42"/>
      <c r="L345" s="42"/>
      <c r="M345" s="42"/>
      <c r="N345" s="42"/>
      <c r="O345" s="42"/>
    </row>
    <row r="346" spans="1:15" ht="16" thickBot="1" x14ac:dyDescent="0.4">
      <c r="A346" s="290"/>
      <c r="B346" s="123" t="s">
        <v>229</v>
      </c>
      <c r="C346" s="125">
        <v>277.7</v>
      </c>
      <c r="D346" s="125">
        <v>276.39999999999998</v>
      </c>
      <c r="E346" s="125">
        <v>273.89999999999998</v>
      </c>
      <c r="F346" s="125">
        <v>273.89999999999998</v>
      </c>
      <c r="G346" s="125">
        <v>273.3</v>
      </c>
      <c r="H346" s="125">
        <v>278.7</v>
      </c>
      <c r="I346" s="42"/>
      <c r="J346" s="43"/>
      <c r="K346" s="42"/>
      <c r="L346" s="42"/>
      <c r="M346" s="42"/>
      <c r="N346" s="42"/>
      <c r="O346" s="42"/>
    </row>
    <row r="347" spans="1:15" ht="31.5" thickBot="1" x14ac:dyDescent="0.4">
      <c r="A347" s="134">
        <v>48</v>
      </c>
      <c r="B347" s="121" t="s">
        <v>149</v>
      </c>
      <c r="C347" s="117">
        <v>44.24</v>
      </c>
      <c r="D347" s="117">
        <v>44.44</v>
      </c>
      <c r="E347" s="117">
        <v>44.85</v>
      </c>
      <c r="F347" s="117">
        <v>44.85</v>
      </c>
      <c r="G347" s="117">
        <v>44.95</v>
      </c>
      <c r="H347" s="117">
        <v>44.08</v>
      </c>
      <c r="I347" s="42"/>
      <c r="J347" s="43"/>
      <c r="K347" s="42"/>
      <c r="L347" s="42"/>
      <c r="M347" s="42"/>
      <c r="N347" s="42"/>
      <c r="O347" s="42"/>
    </row>
    <row r="348" spans="1:15" ht="15" thickTop="1" x14ac:dyDescent="0.35">
      <c r="A348" s="42"/>
      <c r="B348" s="42"/>
      <c r="C348" s="42"/>
      <c r="D348" s="42"/>
      <c r="E348" s="42"/>
      <c r="F348" s="42"/>
      <c r="G348" s="42"/>
      <c r="H348" s="42"/>
      <c r="I348" s="42"/>
      <c r="J348" s="43"/>
      <c r="K348" s="42"/>
      <c r="L348" s="42"/>
      <c r="M348" s="42"/>
      <c r="N348" s="42"/>
      <c r="O348" s="42"/>
    </row>
    <row r="349" spans="1:15" x14ac:dyDescent="0.35">
      <c r="A349" s="42"/>
      <c r="B349" s="42"/>
      <c r="C349" s="42"/>
      <c r="D349" s="42"/>
      <c r="E349" s="42"/>
      <c r="F349" s="42"/>
      <c r="G349" s="42"/>
      <c r="H349" s="42"/>
      <c r="I349" s="42"/>
      <c r="J349" s="43"/>
      <c r="K349" s="42"/>
      <c r="L349" s="42"/>
      <c r="M349" s="42"/>
      <c r="N349" s="42"/>
      <c r="O349" s="42"/>
    </row>
    <row r="350" spans="1:15" x14ac:dyDescent="0.35">
      <c r="A350" s="42"/>
      <c r="B350" s="42"/>
      <c r="C350" s="42"/>
      <c r="D350" s="42"/>
      <c r="E350" s="42"/>
      <c r="F350" s="42"/>
      <c r="G350" s="42"/>
      <c r="H350" s="42"/>
      <c r="I350" s="42"/>
      <c r="J350" s="43"/>
      <c r="K350" s="42"/>
      <c r="L350" s="42"/>
      <c r="M350" s="42"/>
      <c r="N350" s="42"/>
      <c r="O350" s="42"/>
    </row>
    <row r="351" spans="1:15" x14ac:dyDescent="0.35">
      <c r="A351" s="42"/>
      <c r="B351" s="42"/>
      <c r="C351" s="42"/>
      <c r="D351" s="42"/>
      <c r="E351" s="42"/>
      <c r="F351" s="42"/>
      <c r="G351" s="42"/>
      <c r="H351" s="42"/>
      <c r="I351" s="42"/>
      <c r="J351" s="43"/>
      <c r="K351" s="42"/>
      <c r="L351" s="42"/>
      <c r="M351" s="42"/>
      <c r="N351" s="42"/>
      <c r="O351" s="42"/>
    </row>
    <row r="352" spans="1:15" x14ac:dyDescent="0.35">
      <c r="A352" s="42"/>
      <c r="B352" s="42"/>
      <c r="C352" s="42"/>
      <c r="D352" s="42"/>
      <c r="E352" s="42"/>
      <c r="F352" s="42"/>
      <c r="G352" s="42"/>
      <c r="H352" s="42"/>
      <c r="I352" s="42"/>
      <c r="J352" s="43"/>
      <c r="K352" s="42"/>
      <c r="L352" s="42"/>
      <c r="M352" s="42"/>
      <c r="N352" s="42"/>
      <c r="O352" s="42"/>
    </row>
    <row r="353" spans="1:15" x14ac:dyDescent="0.35">
      <c r="A353" s="42"/>
      <c r="B353" s="42"/>
      <c r="C353" s="42"/>
      <c r="D353" s="42"/>
      <c r="E353" s="42"/>
      <c r="F353" s="42"/>
      <c r="G353" s="42"/>
      <c r="H353" s="42"/>
      <c r="I353" s="42"/>
      <c r="J353" s="43"/>
      <c r="K353" s="42"/>
      <c r="L353" s="42"/>
      <c r="M353" s="42"/>
      <c r="N353" s="42"/>
      <c r="O353" s="42"/>
    </row>
    <row r="354" spans="1:15" x14ac:dyDescent="0.35">
      <c r="A354" s="42"/>
      <c r="B354" s="42"/>
      <c r="C354" s="42"/>
      <c r="D354" s="42"/>
      <c r="E354" s="42"/>
      <c r="F354" s="42"/>
      <c r="G354" s="42"/>
      <c r="H354" s="42"/>
      <c r="I354" s="42"/>
      <c r="J354" s="43"/>
      <c r="K354" s="42"/>
      <c r="L354" s="42"/>
      <c r="M354" s="42"/>
      <c r="N354" s="42"/>
      <c r="O354" s="42"/>
    </row>
    <row r="355" spans="1:15" x14ac:dyDescent="0.35">
      <c r="A355" s="42"/>
      <c r="B355" s="42"/>
      <c r="C355" s="42"/>
      <c r="D355" s="42"/>
      <c r="E355" s="42"/>
      <c r="F355" s="42"/>
      <c r="G355" s="42"/>
      <c r="H355" s="42"/>
      <c r="I355" s="42"/>
      <c r="J355" s="43"/>
      <c r="K355" s="42"/>
      <c r="L355" s="42"/>
      <c r="M355" s="42"/>
      <c r="N355" s="42"/>
      <c r="O355" s="42"/>
    </row>
  </sheetData>
  <mergeCells count="145">
    <mergeCell ref="A6:A8"/>
    <mergeCell ref="B6:B7"/>
    <mergeCell ref="C6:N6"/>
    <mergeCell ref="C8:I8"/>
    <mergeCell ref="A9:N9"/>
    <mergeCell ref="C10:N10"/>
    <mergeCell ref="A29:A32"/>
    <mergeCell ref="C29:N29"/>
    <mergeCell ref="A33:N33"/>
    <mergeCell ref="A34:A37"/>
    <mergeCell ref="C34:N34"/>
    <mergeCell ref="A38:A41"/>
    <mergeCell ref="A13:A14"/>
    <mergeCell ref="A17:N17"/>
    <mergeCell ref="A18:A24"/>
    <mergeCell ref="C18:N18"/>
    <mergeCell ref="A25:A28"/>
    <mergeCell ref="C25:N25"/>
    <mergeCell ref="A73:A74"/>
    <mergeCell ref="A76:A77"/>
    <mergeCell ref="A78:A79"/>
    <mergeCell ref="A80:A81"/>
    <mergeCell ref="A84:A85"/>
    <mergeCell ref="A86:A87"/>
    <mergeCell ref="A42:A45"/>
    <mergeCell ref="A46:A49"/>
    <mergeCell ref="A50:A53"/>
    <mergeCell ref="A54:A62"/>
    <mergeCell ref="A63:A66"/>
    <mergeCell ref="A67:N67"/>
    <mergeCell ref="A108:A109"/>
    <mergeCell ref="A110:A111"/>
    <mergeCell ref="A112:A113"/>
    <mergeCell ref="A114:A115"/>
    <mergeCell ref="B124:B125"/>
    <mergeCell ref="C124:H124"/>
    <mergeCell ref="A92:N92"/>
    <mergeCell ref="A96:A97"/>
    <mergeCell ref="A98:A99"/>
    <mergeCell ref="A100:A101"/>
    <mergeCell ref="A102:A103"/>
    <mergeCell ref="A104:A105"/>
    <mergeCell ref="A135:H135"/>
    <mergeCell ref="A136:A142"/>
    <mergeCell ref="C136:H136"/>
    <mergeCell ref="A143:A146"/>
    <mergeCell ref="C143:H143"/>
    <mergeCell ref="A147:A150"/>
    <mergeCell ref="C147:H147"/>
    <mergeCell ref="C126:H126"/>
    <mergeCell ref="A127:H127"/>
    <mergeCell ref="C128:H128"/>
    <mergeCell ref="A131:A132"/>
    <mergeCell ref="C131:C132"/>
    <mergeCell ref="D131:D132"/>
    <mergeCell ref="E131:E132"/>
    <mergeCell ref="F131:F132"/>
    <mergeCell ref="G131:G132"/>
    <mergeCell ref="H131:H132"/>
    <mergeCell ref="A164:A167"/>
    <mergeCell ref="C164:H164"/>
    <mergeCell ref="A168:A171"/>
    <mergeCell ref="C168:H168"/>
    <mergeCell ref="A172:A175"/>
    <mergeCell ref="C172:H172"/>
    <mergeCell ref="A151:H151"/>
    <mergeCell ref="A152:A155"/>
    <mergeCell ref="C152:H152"/>
    <mergeCell ref="A156:A159"/>
    <mergeCell ref="C156:H156"/>
    <mergeCell ref="A160:A163"/>
    <mergeCell ref="C160:H160"/>
    <mergeCell ref="A193:A194"/>
    <mergeCell ref="A195:A196"/>
    <mergeCell ref="A198:A199"/>
    <mergeCell ref="A200:A201"/>
    <mergeCell ref="C200:C201"/>
    <mergeCell ref="A208:H208"/>
    <mergeCell ref="A176:A179"/>
    <mergeCell ref="C176:H176"/>
    <mergeCell ref="A180:H180"/>
    <mergeCell ref="A186:A187"/>
    <mergeCell ref="A189:A190"/>
    <mergeCell ref="A191:A192"/>
    <mergeCell ref="A226:A227"/>
    <mergeCell ref="A228:A229"/>
    <mergeCell ref="A230:A232"/>
    <mergeCell ref="A239:A241"/>
    <mergeCell ref="B239:B241"/>
    <mergeCell ref="C239:H239"/>
    <mergeCell ref="C241:G241"/>
    <mergeCell ref="A212:A213"/>
    <mergeCell ref="A214:A215"/>
    <mergeCell ref="A216:A217"/>
    <mergeCell ref="A218:A219"/>
    <mergeCell ref="A220:A221"/>
    <mergeCell ref="A224:A225"/>
    <mergeCell ref="C242:H242"/>
    <mergeCell ref="A243:H243"/>
    <mergeCell ref="C244:H244"/>
    <mergeCell ref="A247:A248"/>
    <mergeCell ref="C247:C248"/>
    <mergeCell ref="D247:D248"/>
    <mergeCell ref="E247:E248"/>
    <mergeCell ref="F247:F248"/>
    <mergeCell ref="G247:G248"/>
    <mergeCell ref="H247:H248"/>
    <mergeCell ref="A267:H267"/>
    <mergeCell ref="A268:A271"/>
    <mergeCell ref="C268:H268"/>
    <mergeCell ref="A272:A275"/>
    <mergeCell ref="C272:H272"/>
    <mergeCell ref="A276:A279"/>
    <mergeCell ref="C276:H276"/>
    <mergeCell ref="A251:H251"/>
    <mergeCell ref="A252:A258"/>
    <mergeCell ref="C252:H252"/>
    <mergeCell ref="A259:A262"/>
    <mergeCell ref="C259:H259"/>
    <mergeCell ref="A263:A266"/>
    <mergeCell ref="C263:H263"/>
    <mergeCell ref="A292:A295"/>
    <mergeCell ref="C292:H292"/>
    <mergeCell ref="A296:H296"/>
    <mergeCell ref="A305:A306"/>
    <mergeCell ref="A307:A308"/>
    <mergeCell ref="A309:A310"/>
    <mergeCell ref="A280:A283"/>
    <mergeCell ref="C280:H280"/>
    <mergeCell ref="A284:A287"/>
    <mergeCell ref="C284:H284"/>
    <mergeCell ref="A288:A291"/>
    <mergeCell ref="C288:H288"/>
    <mergeCell ref="A331:A332"/>
    <mergeCell ref="A333:A334"/>
    <mergeCell ref="A339:A340"/>
    <mergeCell ref="A341:A342"/>
    <mergeCell ref="A343:A344"/>
    <mergeCell ref="A345:A346"/>
    <mergeCell ref="A313:A314"/>
    <mergeCell ref="A315:A316"/>
    <mergeCell ref="C315:C316"/>
    <mergeCell ref="A323:H323"/>
    <mergeCell ref="A327:A328"/>
    <mergeCell ref="A329:A33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1:M53"/>
  <sheetViews>
    <sheetView zoomScale="85" zoomScaleNormal="85" workbookViewId="0">
      <selection activeCell="H47" sqref="H47:L53"/>
    </sheetView>
  </sheetViews>
  <sheetFormatPr defaultRowHeight="14.5" x14ac:dyDescent="0.35"/>
  <sheetData>
    <row r="1" spans="1:11" x14ac:dyDescent="0.35">
      <c r="F1">
        <v>0</v>
      </c>
      <c r="K1">
        <v>0</v>
      </c>
    </row>
    <row r="2" spans="1:11" x14ac:dyDescent="0.35">
      <c r="F2">
        <v>1</v>
      </c>
      <c r="K2">
        <f>K1+10</f>
        <v>10</v>
      </c>
    </row>
    <row r="3" spans="1:11" x14ac:dyDescent="0.35">
      <c r="F3">
        <v>2</v>
      </c>
      <c r="K3">
        <f t="shared" ref="K3:K7" si="0">K2+10</f>
        <v>20</v>
      </c>
    </row>
    <row r="4" spans="1:11" x14ac:dyDescent="0.35">
      <c r="F4">
        <v>3</v>
      </c>
      <c r="K4">
        <f t="shared" si="0"/>
        <v>30</v>
      </c>
    </row>
    <row r="5" spans="1:11" x14ac:dyDescent="0.35">
      <c r="F5">
        <v>4</v>
      </c>
      <c r="K5">
        <f t="shared" si="0"/>
        <v>40</v>
      </c>
    </row>
    <row r="6" spans="1:11" x14ac:dyDescent="0.35">
      <c r="F6">
        <v>5</v>
      </c>
      <c r="K6">
        <f t="shared" si="0"/>
        <v>50</v>
      </c>
    </row>
    <row r="7" spans="1:11" x14ac:dyDescent="0.35">
      <c r="F7">
        <v>6</v>
      </c>
      <c r="K7">
        <f t="shared" si="0"/>
        <v>60</v>
      </c>
    </row>
    <row r="8" spans="1:11" x14ac:dyDescent="0.35">
      <c r="F8">
        <v>7</v>
      </c>
      <c r="K8">
        <f>K7+10</f>
        <v>70</v>
      </c>
    </row>
    <row r="9" spans="1:11" x14ac:dyDescent="0.35">
      <c r="F9">
        <v>8</v>
      </c>
    </row>
    <row r="10" spans="1:11" x14ac:dyDescent="0.35">
      <c r="F10">
        <v>9</v>
      </c>
    </row>
    <row r="11" spans="1:11" x14ac:dyDescent="0.35">
      <c r="F11">
        <v>10</v>
      </c>
    </row>
    <row r="12" spans="1:11" x14ac:dyDescent="0.35">
      <c r="A12" t="s">
        <v>234</v>
      </c>
      <c r="E12" t="s">
        <v>233</v>
      </c>
      <c r="F12">
        <v>11</v>
      </c>
      <c r="G12">
        <v>-3</v>
      </c>
      <c r="H12">
        <f>gkt_gtu_tatm(G12)</f>
        <v>1.0499097108840942</v>
      </c>
    </row>
    <row r="13" spans="1:11" x14ac:dyDescent="0.35">
      <c r="A13">
        <f>tkt_gtu_tatm(B13)</f>
        <v>0.97293978929519653</v>
      </c>
      <c r="B13" s="3">
        <v>-30</v>
      </c>
      <c r="C13">
        <v>0.97299999999999998</v>
      </c>
      <c r="D13">
        <v>-30</v>
      </c>
      <c r="E13">
        <f>n_gtu_tatm(B13)</f>
        <v>1.1000000238418579</v>
      </c>
      <c r="F13">
        <v>12</v>
      </c>
      <c r="G13">
        <v>-1</v>
      </c>
      <c r="H13">
        <f t="shared" ref="H13:H28" si="1">gkt_gtu_tatm(G13)</f>
        <v>1.0481481552124023</v>
      </c>
    </row>
    <row r="14" spans="1:11" x14ac:dyDescent="0.35">
      <c r="A14">
        <f t="shared" ref="A14:A28" si="2">tkt_gtu_tatm(B14)</f>
        <v>0.97390294075012207</v>
      </c>
      <c r="B14">
        <v>-27</v>
      </c>
      <c r="C14">
        <v>0.97389999999999999</v>
      </c>
      <c r="D14">
        <v>-27</v>
      </c>
      <c r="E14">
        <f t="shared" ref="E14:E28" si="3">n_gtu_tatm(B14)</f>
        <v>1.1000000238418579</v>
      </c>
      <c r="F14">
        <v>13</v>
      </c>
      <c r="G14">
        <v>-30</v>
      </c>
      <c r="H14">
        <f t="shared" si="1"/>
        <v>1.0187816619873047</v>
      </c>
      <c r="I14">
        <f t="shared" ref="I14:I19" si="4">H14</f>
        <v>1.0187816619873047</v>
      </c>
    </row>
    <row r="15" spans="1:11" x14ac:dyDescent="0.35">
      <c r="A15">
        <f t="shared" si="2"/>
        <v>0.97458815574645996</v>
      </c>
      <c r="B15">
        <v>-25</v>
      </c>
      <c r="C15">
        <v>0.97450000000000003</v>
      </c>
      <c r="D15">
        <v>-25</v>
      </c>
      <c r="E15">
        <f t="shared" si="3"/>
        <v>1.1000000238418579</v>
      </c>
      <c r="F15">
        <v>14</v>
      </c>
      <c r="G15">
        <v>-25</v>
      </c>
      <c r="H15">
        <f t="shared" si="1"/>
        <v>1.0231630802154541</v>
      </c>
      <c r="I15">
        <f t="shared" si="4"/>
        <v>1.0231630802154541</v>
      </c>
    </row>
    <row r="16" spans="1:11" x14ac:dyDescent="0.35">
      <c r="A16">
        <f t="shared" si="2"/>
        <v>0.97647172212600708</v>
      </c>
      <c r="B16">
        <v>-20</v>
      </c>
      <c r="C16">
        <v>0.97660000000000002</v>
      </c>
      <c r="D16">
        <v>-20</v>
      </c>
      <c r="E16">
        <f t="shared" si="3"/>
        <v>1.1000000238418579</v>
      </c>
      <c r="F16">
        <v>15</v>
      </c>
      <c r="G16">
        <v>-20</v>
      </c>
      <c r="H16">
        <f t="shared" si="1"/>
        <v>1.0281732082366943</v>
      </c>
      <c r="I16">
        <f t="shared" si="4"/>
        <v>1.0281732082366943</v>
      </c>
    </row>
    <row r="17" spans="1:13" x14ac:dyDescent="0.35">
      <c r="A17">
        <f t="shared" si="2"/>
        <v>0.9786333441734314</v>
      </c>
      <c r="B17">
        <v>-15</v>
      </c>
      <c r="C17">
        <v>0.97850000000000004</v>
      </c>
      <c r="D17">
        <v>-15</v>
      </c>
      <c r="E17">
        <f t="shared" si="3"/>
        <v>1.1000000238418579</v>
      </c>
      <c r="F17">
        <v>16</v>
      </c>
      <c r="G17">
        <v>-15</v>
      </c>
      <c r="H17">
        <f t="shared" si="1"/>
        <v>1.0338119268417358</v>
      </c>
      <c r="I17">
        <f t="shared" si="4"/>
        <v>1.0338119268417358</v>
      </c>
    </row>
    <row r="18" spans="1:13" x14ac:dyDescent="0.35">
      <c r="A18">
        <f t="shared" si="2"/>
        <v>0.98111569881439209</v>
      </c>
      <c r="B18">
        <v>-10</v>
      </c>
      <c r="C18">
        <v>0.98119999999999996</v>
      </c>
      <c r="D18">
        <v>-10</v>
      </c>
      <c r="E18">
        <f t="shared" si="3"/>
        <v>1.1000000238418579</v>
      </c>
      <c r="F18">
        <v>17</v>
      </c>
      <c r="G18">
        <v>-10</v>
      </c>
      <c r="H18">
        <f t="shared" si="1"/>
        <v>1.0400793552398682</v>
      </c>
      <c r="I18">
        <f t="shared" si="4"/>
        <v>1.0400793552398682</v>
      </c>
    </row>
    <row r="19" spans="1:13" x14ac:dyDescent="0.35">
      <c r="A19">
        <f t="shared" si="2"/>
        <v>0.98396158218383789</v>
      </c>
      <c r="B19">
        <v>-5</v>
      </c>
      <c r="C19">
        <v>0.9839</v>
      </c>
      <c r="D19">
        <v>-5</v>
      </c>
      <c r="E19">
        <f t="shared" si="3"/>
        <v>1.1000000238418579</v>
      </c>
      <c r="F19">
        <v>18</v>
      </c>
      <c r="G19">
        <v>-5</v>
      </c>
      <c r="H19">
        <f t="shared" si="1"/>
        <v>1.0469753742218018</v>
      </c>
      <c r="I19">
        <f t="shared" si="4"/>
        <v>1.0469753742218018</v>
      </c>
    </row>
    <row r="20" spans="1:13" x14ac:dyDescent="0.35">
      <c r="A20">
        <f t="shared" si="2"/>
        <v>0.98721367120742798</v>
      </c>
      <c r="B20">
        <v>0</v>
      </c>
      <c r="C20">
        <v>0.98729999999999996</v>
      </c>
      <c r="E20">
        <f t="shared" si="3"/>
        <v>1.090999960899353</v>
      </c>
      <c r="F20">
        <v>19</v>
      </c>
      <c r="G20">
        <v>-2</v>
      </c>
      <c r="H20">
        <f t="shared" si="1"/>
        <v>1.050499439239502</v>
      </c>
      <c r="I20">
        <v>1.0509999999999999</v>
      </c>
    </row>
    <row r="21" spans="1:13" x14ac:dyDescent="0.35">
      <c r="A21">
        <f t="shared" si="2"/>
        <v>0.99091476202011108</v>
      </c>
      <c r="B21">
        <v>5</v>
      </c>
      <c r="E21">
        <f t="shared" si="3"/>
        <v>1.0609999895095825</v>
      </c>
      <c r="F21">
        <v>20</v>
      </c>
      <c r="G21">
        <v>0</v>
      </c>
      <c r="H21">
        <f t="shared" si="1"/>
        <v>1.045702338218689</v>
      </c>
      <c r="I21">
        <v>1.0454000000000001</v>
      </c>
      <c r="K21">
        <f t="shared" ref="K21:K28" si="5">tkt_gtu_pout(K1)</f>
        <v>1</v>
      </c>
      <c r="L21">
        <f t="shared" ref="L21:L28" si="6">n_gtu_pout(K1)</f>
        <v>1</v>
      </c>
      <c r="M21">
        <f t="shared" ref="M21:M28" si="7">eff_gtu_pout(K1)</f>
        <v>1</v>
      </c>
    </row>
    <row r="22" spans="1:13" x14ac:dyDescent="0.35">
      <c r="A22">
        <f t="shared" si="2"/>
        <v>0.99510765075683594</v>
      </c>
      <c r="B22">
        <v>10</v>
      </c>
      <c r="C22">
        <v>0.995</v>
      </c>
      <c r="E22">
        <f t="shared" si="3"/>
        <v>1.031000018119812</v>
      </c>
      <c r="G22">
        <v>5</v>
      </c>
      <c r="H22">
        <f t="shared" si="1"/>
        <v>1.0321435928344727</v>
      </c>
      <c r="I22">
        <v>1.0316500000000002</v>
      </c>
      <c r="K22">
        <f t="shared" si="5"/>
        <v>1.0026700496673584</v>
      </c>
      <c r="L22">
        <f t="shared" si="6"/>
        <v>0.99449998140335083</v>
      </c>
      <c r="M22">
        <f t="shared" si="7"/>
        <v>0.99449998140335083</v>
      </c>
    </row>
    <row r="23" spans="1:13" x14ac:dyDescent="0.35">
      <c r="A23">
        <f t="shared" si="2"/>
        <v>0.99983501434326172</v>
      </c>
      <c r="B23">
        <v>15</v>
      </c>
      <c r="E23">
        <f t="shared" si="3"/>
        <v>1.0010000467300415</v>
      </c>
      <c r="G23">
        <v>10</v>
      </c>
      <c r="H23">
        <f t="shared" si="1"/>
        <v>1.0166029930114746</v>
      </c>
      <c r="I23">
        <v>1.0164000000000002</v>
      </c>
      <c r="K23">
        <f t="shared" si="5"/>
        <v>1.0053399801254272</v>
      </c>
      <c r="L23">
        <f t="shared" si="6"/>
        <v>0.98900002241134644</v>
      </c>
      <c r="M23">
        <f t="shared" si="7"/>
        <v>0.98900002241134644</v>
      </c>
    </row>
    <row r="24" spans="1:13" x14ac:dyDescent="0.35">
      <c r="A24">
        <f t="shared" si="2"/>
        <v>1.0051395893096924</v>
      </c>
      <c r="B24">
        <v>20</v>
      </c>
      <c r="C24">
        <v>1.0053000000000001</v>
      </c>
      <c r="E24">
        <f t="shared" si="3"/>
        <v>0.97100001573562622</v>
      </c>
      <c r="G24">
        <v>15</v>
      </c>
      <c r="H24">
        <f t="shared" si="1"/>
        <v>0.99939936399459839</v>
      </c>
      <c r="I24">
        <v>0.99965000000000015</v>
      </c>
      <c r="K24">
        <f t="shared" si="5"/>
        <v>1.0080100297927856</v>
      </c>
      <c r="L24">
        <f t="shared" si="6"/>
        <v>0.98350000381469727</v>
      </c>
      <c r="M24">
        <f t="shared" si="7"/>
        <v>0.98350000381469727</v>
      </c>
    </row>
    <row r="25" spans="1:13" x14ac:dyDescent="0.35">
      <c r="A25">
        <f t="shared" si="2"/>
        <v>1.0110641717910767</v>
      </c>
      <c r="B25">
        <v>25</v>
      </c>
      <c r="E25">
        <f t="shared" si="3"/>
        <v>0.94099998474121094</v>
      </c>
      <c r="G25">
        <v>20</v>
      </c>
      <c r="H25">
        <f t="shared" si="1"/>
        <v>0.98085153102874756</v>
      </c>
      <c r="I25">
        <v>0.98140000000000016</v>
      </c>
      <c r="K25">
        <f t="shared" si="5"/>
        <v>1.0106799602508545</v>
      </c>
      <c r="L25">
        <f t="shared" si="6"/>
        <v>0.9779999852180481</v>
      </c>
      <c r="M25">
        <f t="shared" si="7"/>
        <v>0.9779999852180481</v>
      </c>
    </row>
    <row r="26" spans="1:13" x14ac:dyDescent="0.35">
      <c r="A26">
        <f t="shared" si="2"/>
        <v>1.0176515579223633</v>
      </c>
      <c r="B26">
        <v>30</v>
      </c>
      <c r="C26">
        <v>1.0175000000000001</v>
      </c>
      <c r="E26">
        <f t="shared" si="3"/>
        <v>0.91100001335144043</v>
      </c>
      <c r="G26">
        <v>25</v>
      </c>
      <c r="H26">
        <f t="shared" si="1"/>
        <v>0.96127837896347046</v>
      </c>
      <c r="I26">
        <v>0.96165000000000012</v>
      </c>
      <c r="K26">
        <f t="shared" si="5"/>
        <v>1.0133500099182129</v>
      </c>
      <c r="L26">
        <f t="shared" si="6"/>
        <v>0.9725000262260437</v>
      </c>
      <c r="M26">
        <f t="shared" si="7"/>
        <v>0.9725000262260437</v>
      </c>
    </row>
    <row r="27" spans="1:13" x14ac:dyDescent="0.35">
      <c r="A27">
        <f t="shared" si="2"/>
        <v>1.0249444246292114</v>
      </c>
      <c r="B27">
        <v>35</v>
      </c>
      <c r="E27">
        <f t="shared" si="3"/>
        <v>0.88099998235702515</v>
      </c>
      <c r="G27">
        <v>30</v>
      </c>
      <c r="H27">
        <f t="shared" si="1"/>
        <v>0.94099867343902588</v>
      </c>
      <c r="I27">
        <v>0.94040000000000012</v>
      </c>
      <c r="K27">
        <f t="shared" si="5"/>
        <v>1.0160200595855713</v>
      </c>
      <c r="L27">
        <f t="shared" si="6"/>
        <v>0.96700000762939453</v>
      </c>
      <c r="M27">
        <f t="shared" si="7"/>
        <v>0.96700000762939453</v>
      </c>
    </row>
    <row r="28" spans="1:13" x14ac:dyDescent="0.35">
      <c r="A28">
        <f t="shared" si="2"/>
        <v>1.0329855680465698</v>
      </c>
      <c r="B28">
        <v>40</v>
      </c>
      <c r="C28">
        <v>1.0329999999999999</v>
      </c>
      <c r="E28">
        <f t="shared" si="3"/>
        <v>0.85100001096725464</v>
      </c>
      <c r="G28">
        <v>35</v>
      </c>
      <c r="H28">
        <f t="shared" si="1"/>
        <v>0.92033123970031738</v>
      </c>
      <c r="I28">
        <v>0.91984999999999995</v>
      </c>
      <c r="K28">
        <f t="shared" si="5"/>
        <v>1.0186899900436401</v>
      </c>
      <c r="L28">
        <f t="shared" si="6"/>
        <v>0.96149998903274536</v>
      </c>
      <c r="M28">
        <f t="shared" si="7"/>
        <v>0.96149998903274536</v>
      </c>
    </row>
    <row r="29" spans="1:13" x14ac:dyDescent="0.35">
      <c r="G29">
        <v>40</v>
      </c>
      <c r="H29">
        <f>gkt_gtu_tatm(G29)</f>
        <v>0.89959496259689331</v>
      </c>
      <c r="I29">
        <v>0.9</v>
      </c>
    </row>
    <row r="32" spans="1:13" x14ac:dyDescent="0.35">
      <c r="A32" t="s">
        <v>235</v>
      </c>
      <c r="C32" t="s">
        <v>236</v>
      </c>
    </row>
    <row r="33" spans="1:12" x14ac:dyDescent="0.35">
      <c r="A33">
        <f>eff_GTU_tatm(B13)</f>
        <v>1.0220258235931396</v>
      </c>
      <c r="B33">
        <v>1.0219</v>
      </c>
      <c r="C33">
        <f>gkt_gtu_tatm(B13)</f>
        <v>1.0187816619873047</v>
      </c>
      <c r="D33">
        <f t="shared" ref="D33:D40" si="8">tkt_gtu_pin(F1)</f>
        <v>1</v>
      </c>
      <c r="E33">
        <f t="shared" ref="E33:E40" si="9">gkt_gtu_pin(F1)</f>
        <v>1</v>
      </c>
      <c r="F33">
        <f t="shared" ref="F33:F40" si="10">eff_gtu_pin(F1)</f>
        <v>1</v>
      </c>
      <c r="G33">
        <f t="shared" ref="G33:G40" si="11">n_gtu_pin(F1)</f>
        <v>1</v>
      </c>
      <c r="H33">
        <v>-10</v>
      </c>
      <c r="I33">
        <f>gkt_gtu_tatm(H33)</f>
        <v>1.0400793552398682</v>
      </c>
    </row>
    <row r="34" spans="1:12" x14ac:dyDescent="0.35">
      <c r="A34">
        <f t="shared" ref="A34:A48" si="12">eff_GTU_tatm(B14)</f>
        <v>1.0221495628356934</v>
      </c>
      <c r="B34">
        <v>1.0222</v>
      </c>
      <c r="C34">
        <f t="shared" ref="C34:C48" si="13">gkt_gtu_tatm(B14)</f>
        <v>1.0213351249694824</v>
      </c>
      <c r="D34">
        <f t="shared" si="8"/>
        <v>1.0002504587173462</v>
      </c>
      <c r="E34">
        <f t="shared" si="9"/>
        <v>0.99900001287460327</v>
      </c>
      <c r="F34">
        <f t="shared" si="10"/>
        <v>0.99940001964569092</v>
      </c>
      <c r="G34">
        <f t="shared" si="11"/>
        <v>0.99849998950958252</v>
      </c>
    </row>
    <row r="35" spans="1:12" x14ac:dyDescent="0.35">
      <c r="A35">
        <f t="shared" si="12"/>
        <v>1.02225661277771</v>
      </c>
      <c r="B35">
        <v>1.0224299999999999</v>
      </c>
      <c r="C35">
        <f t="shared" si="13"/>
        <v>1.0231630802154541</v>
      </c>
      <c r="D35">
        <f t="shared" si="8"/>
        <v>1.0005007982254028</v>
      </c>
      <c r="E35">
        <f t="shared" si="9"/>
        <v>0.99800002574920654</v>
      </c>
      <c r="F35">
        <f t="shared" si="10"/>
        <v>0.99879997968673706</v>
      </c>
      <c r="G35">
        <f t="shared" si="11"/>
        <v>0.99699997901916504</v>
      </c>
      <c r="H35">
        <v>0</v>
      </c>
      <c r="I35">
        <f>gkt_gtu_n(H35)</f>
        <v>0.68500000238418579</v>
      </c>
      <c r="J35">
        <f>tkt_gtu_n(H35)</f>
        <v>0.46000000834465027</v>
      </c>
      <c r="K35">
        <f>eff_gtu_n(H35)</f>
        <v>-4.550000187009573E-3</v>
      </c>
      <c r="L35">
        <v>1.0000000036274937E-15</v>
      </c>
    </row>
    <row r="36" spans="1:12" x14ac:dyDescent="0.35">
      <c r="A36">
        <f t="shared" si="12"/>
        <v>1.0225216150283813</v>
      </c>
      <c r="B36">
        <v>1.0225</v>
      </c>
      <c r="C36">
        <f t="shared" si="13"/>
        <v>1.0281732082366943</v>
      </c>
      <c r="D36">
        <f t="shared" si="8"/>
        <v>1.000751256942749</v>
      </c>
      <c r="E36">
        <f t="shared" si="9"/>
        <v>0.99699997901916504</v>
      </c>
      <c r="F36">
        <f t="shared" si="10"/>
        <v>0.99819999933242798</v>
      </c>
      <c r="G36">
        <f t="shared" si="11"/>
        <v>0.99550002813339233</v>
      </c>
      <c r="H36">
        <f>H35+0.1</f>
        <v>0.1</v>
      </c>
      <c r="I36">
        <f t="shared" ref="I36:I44" si="14">gkt_gtu_n(H36)</f>
        <v>0.68690001964569092</v>
      </c>
      <c r="J36">
        <f t="shared" ref="J36:J45" si="15">tkt_gtu_n(H36)</f>
        <v>0.56190001964569092</v>
      </c>
      <c r="K36">
        <f t="shared" ref="K36:K45" si="16">eff_gtu_n(H36)</f>
        <v>0.30260270833969116</v>
      </c>
      <c r="L36">
        <v>0.28530040740969997</v>
      </c>
    </row>
    <row r="37" spans="1:12" x14ac:dyDescent="0.35">
      <c r="A37">
        <f t="shared" si="12"/>
        <v>1.0226304531097412</v>
      </c>
      <c r="B37">
        <v>1.0224500000000001</v>
      </c>
      <c r="C37">
        <f t="shared" si="13"/>
        <v>1.0338119268417358</v>
      </c>
      <c r="D37">
        <f t="shared" si="8"/>
        <v>1.0010015964508057</v>
      </c>
      <c r="E37">
        <f t="shared" si="9"/>
        <v>0.99599999189376831</v>
      </c>
      <c r="F37">
        <f t="shared" si="10"/>
        <v>0.9976000189781189</v>
      </c>
      <c r="G37">
        <f t="shared" si="11"/>
        <v>0.99400001764297485</v>
      </c>
      <c r="H37">
        <f t="shared" ref="H37:H44" si="17">H36+0.1</f>
        <v>0.2</v>
      </c>
      <c r="I37">
        <f t="shared" si="14"/>
        <v>0.68879997730255127</v>
      </c>
      <c r="J37">
        <f t="shared" si="15"/>
        <v>0.66380000114440918</v>
      </c>
      <c r="K37">
        <f t="shared" si="16"/>
        <v>0.5269508957862854</v>
      </c>
      <c r="L37">
        <v>0.54600000000000004</v>
      </c>
    </row>
    <row r="38" spans="1:12" x14ac:dyDescent="0.35">
      <c r="A38">
        <f t="shared" si="12"/>
        <v>1.0223923921585083</v>
      </c>
      <c r="B38">
        <v>1.0223</v>
      </c>
      <c r="C38">
        <f t="shared" si="13"/>
        <v>1.0400793552398682</v>
      </c>
      <c r="D38">
        <f t="shared" si="8"/>
        <v>1.0012520551681519</v>
      </c>
      <c r="E38">
        <f t="shared" si="9"/>
        <v>0.99500000476837158</v>
      </c>
      <c r="F38">
        <f t="shared" si="10"/>
        <v>0.99699997901916504</v>
      </c>
      <c r="G38">
        <f t="shared" si="11"/>
        <v>0.99250000715255737</v>
      </c>
      <c r="H38">
        <f t="shared" si="17"/>
        <v>0.30000000000000004</v>
      </c>
      <c r="I38">
        <f t="shared" si="14"/>
        <v>0.6906999945640564</v>
      </c>
      <c r="J38">
        <f t="shared" si="15"/>
        <v>0.76569998264312744</v>
      </c>
      <c r="K38">
        <f t="shared" si="16"/>
        <v>0.67692279815673828</v>
      </c>
      <c r="L38">
        <v>0.67800000000000005</v>
      </c>
    </row>
    <row r="39" spans="1:12" x14ac:dyDescent="0.35">
      <c r="A39">
        <f t="shared" si="12"/>
        <v>1.0216171741485596</v>
      </c>
      <c r="B39">
        <v>1.0219</v>
      </c>
      <c r="C39">
        <f t="shared" si="13"/>
        <v>1.0469753742218018</v>
      </c>
      <c r="D39">
        <f t="shared" si="8"/>
        <v>1.0015023946762085</v>
      </c>
      <c r="E39">
        <f t="shared" si="9"/>
        <v>0.99400001764297485</v>
      </c>
      <c r="F39">
        <f t="shared" si="10"/>
        <v>0.99639999866485596</v>
      </c>
      <c r="G39">
        <f t="shared" si="11"/>
        <v>0.99099999666213989</v>
      </c>
      <c r="H39">
        <f t="shared" si="17"/>
        <v>0.4</v>
      </c>
      <c r="I39">
        <f t="shared" si="14"/>
        <v>0.69260001182556152</v>
      </c>
      <c r="J39">
        <f t="shared" si="15"/>
        <v>0.86760002374649048</v>
      </c>
      <c r="K39">
        <f t="shared" si="16"/>
        <v>0.76884931325912476</v>
      </c>
      <c r="L39">
        <v>0.76</v>
      </c>
    </row>
    <row r="40" spans="1:12" x14ac:dyDescent="0.35">
      <c r="A40">
        <f t="shared" si="12"/>
        <v>1.0201485157012939</v>
      </c>
      <c r="B40">
        <v>1.0199999809265137</v>
      </c>
      <c r="C40">
        <f t="shared" si="13"/>
        <v>1.045702338218689</v>
      </c>
      <c r="D40">
        <f t="shared" si="8"/>
        <v>1.0017528533935547</v>
      </c>
      <c r="E40">
        <f t="shared" si="9"/>
        <v>0.99299997091293335</v>
      </c>
      <c r="F40">
        <f t="shared" si="10"/>
        <v>0.99580001831054688</v>
      </c>
      <c r="G40">
        <f t="shared" si="11"/>
        <v>0.98949998617172241</v>
      </c>
      <c r="H40">
        <f t="shared" si="17"/>
        <v>0.5</v>
      </c>
      <c r="I40">
        <f t="shared" si="14"/>
        <v>0.69450002908706665</v>
      </c>
      <c r="J40">
        <f t="shared" si="15"/>
        <v>0.96950000524520874</v>
      </c>
      <c r="K40">
        <f t="shared" si="16"/>
        <v>0.82294100522994995</v>
      </c>
      <c r="L40">
        <v>0.82</v>
      </c>
    </row>
    <row r="41" spans="1:12" x14ac:dyDescent="0.35">
      <c r="A41">
        <f t="shared" si="12"/>
        <v>1.0146939754486084</v>
      </c>
      <c r="B41">
        <v>1.0149999999999999</v>
      </c>
      <c r="C41">
        <f t="shared" si="13"/>
        <v>1.0321435928344727</v>
      </c>
      <c r="D41">
        <f t="shared" ref="D41:D53" si="18">tkt_gtu_pin(F9)</f>
        <v>1.0020031929016113</v>
      </c>
      <c r="E41">
        <f t="shared" ref="E41:E53" si="19">gkt_gtu_pin(F9)</f>
        <v>0.99199998378753662</v>
      </c>
      <c r="F41">
        <f t="shared" ref="F41:F53" si="20">eff_gtu_pin(F9)</f>
        <v>0.99519997835159302</v>
      </c>
      <c r="G41">
        <f t="shared" ref="G41:G53" si="21">n_gtu_pin(F9)</f>
        <v>0.98799997568130493</v>
      </c>
      <c r="H41">
        <f>H40+0.1</f>
        <v>0.6</v>
      </c>
      <c r="I41">
        <f t="shared" si="14"/>
        <v>0.74040001630783081</v>
      </c>
      <c r="J41">
        <f t="shared" si="15"/>
        <v>1</v>
      </c>
      <c r="K41">
        <f t="shared" si="16"/>
        <v>0.85926496982574463</v>
      </c>
      <c r="L41">
        <v>0.86</v>
      </c>
    </row>
    <row r="42" spans="1:12" x14ac:dyDescent="0.35">
      <c r="A42">
        <f t="shared" si="12"/>
        <v>1.0080112218856812</v>
      </c>
      <c r="B42">
        <v>1.008</v>
      </c>
      <c r="C42">
        <f t="shared" si="13"/>
        <v>1.0166029930114746</v>
      </c>
      <c r="D42">
        <f t="shared" si="18"/>
        <v>1.0022536516189575</v>
      </c>
      <c r="E42">
        <f t="shared" si="19"/>
        <v>0.99099999666213989</v>
      </c>
      <c r="F42">
        <f t="shared" si="20"/>
        <v>0.99459999799728394</v>
      </c>
      <c r="G42">
        <f t="shared" si="21"/>
        <v>0.98650002479553223</v>
      </c>
      <c r="H42">
        <f t="shared" si="17"/>
        <v>0.7</v>
      </c>
      <c r="I42">
        <f t="shared" si="14"/>
        <v>0.80529999732971191</v>
      </c>
      <c r="J42">
        <f t="shared" si="15"/>
        <v>1</v>
      </c>
      <c r="K42">
        <f t="shared" si="16"/>
        <v>0.89372169971466064</v>
      </c>
      <c r="L42">
        <v>0.9</v>
      </c>
    </row>
    <row r="43" spans="1:12" x14ac:dyDescent="0.35">
      <c r="A43">
        <f t="shared" si="12"/>
        <v>1.0002323389053345</v>
      </c>
      <c r="B43">
        <v>1</v>
      </c>
      <c r="C43">
        <f t="shared" si="13"/>
        <v>0.99939936399459839</v>
      </c>
      <c r="D43">
        <f t="shared" si="18"/>
        <v>1.0025039911270142</v>
      </c>
      <c r="E43">
        <f t="shared" si="19"/>
        <v>0.99000000953674316</v>
      </c>
      <c r="F43">
        <f t="shared" si="20"/>
        <v>0.99400001764297485</v>
      </c>
      <c r="G43">
        <f t="shared" si="21"/>
        <v>0.98500001430511475</v>
      </c>
      <c r="H43">
        <f t="shared" si="17"/>
        <v>0.79999999999999993</v>
      </c>
      <c r="I43">
        <f t="shared" si="14"/>
        <v>0.87019997835159302</v>
      </c>
      <c r="J43">
        <f t="shared" si="15"/>
        <v>1</v>
      </c>
      <c r="K43">
        <f t="shared" si="16"/>
        <v>0.93402248620986938</v>
      </c>
      <c r="L43">
        <v>0.93500000000000005</v>
      </c>
    </row>
    <row r="44" spans="1:12" x14ac:dyDescent="0.35">
      <c r="A44">
        <f t="shared" si="12"/>
        <v>0.9914892315864563</v>
      </c>
      <c r="B44">
        <v>0.99150000000000005</v>
      </c>
      <c r="C44">
        <f t="shared" si="13"/>
        <v>0.98085153102874756</v>
      </c>
      <c r="D44">
        <f t="shared" si="18"/>
        <v>1.0027544498443604</v>
      </c>
      <c r="E44">
        <f t="shared" si="19"/>
        <v>0.98900002241134644</v>
      </c>
      <c r="F44">
        <f t="shared" si="20"/>
        <v>0.993399977684021</v>
      </c>
      <c r="G44">
        <f t="shared" si="21"/>
        <v>0.98350000381469727</v>
      </c>
      <c r="H44">
        <f t="shared" si="17"/>
        <v>0.89999999999999991</v>
      </c>
      <c r="I44">
        <f t="shared" si="14"/>
        <v>0.93509995937347412</v>
      </c>
      <c r="J44">
        <f t="shared" si="15"/>
        <v>1</v>
      </c>
      <c r="K44">
        <f t="shared" si="16"/>
        <v>0.9756658673286438</v>
      </c>
      <c r="L44">
        <v>0.97</v>
      </c>
    </row>
    <row r="45" spans="1:12" x14ac:dyDescent="0.35">
      <c r="A45">
        <f t="shared" si="12"/>
        <v>0.98191386461257935</v>
      </c>
      <c r="B45">
        <v>0.98199999999999998</v>
      </c>
      <c r="C45">
        <f t="shared" si="13"/>
        <v>0.96127837896347046</v>
      </c>
      <c r="D45">
        <f t="shared" si="18"/>
        <v>1.003004789352417</v>
      </c>
      <c r="E45">
        <f t="shared" si="19"/>
        <v>0.98799997568130493</v>
      </c>
      <c r="F45">
        <f t="shared" si="20"/>
        <v>0.99279999732971191</v>
      </c>
      <c r="G45">
        <f t="shared" si="21"/>
        <v>0.98199999332427979</v>
      </c>
      <c r="H45">
        <f>H44+0.1</f>
        <v>0.99999999999999989</v>
      </c>
      <c r="I45">
        <f t="shared" ref="I45" si="22">gkt_gtu_n(H45)</f>
        <v>1</v>
      </c>
      <c r="J45">
        <f t="shared" si="15"/>
        <v>1</v>
      </c>
      <c r="K45">
        <f t="shared" si="16"/>
        <v>0.99791502952575684</v>
      </c>
      <c r="L45">
        <v>1</v>
      </c>
    </row>
    <row r="46" spans="1:12" x14ac:dyDescent="0.35">
      <c r="A46">
        <f t="shared" si="12"/>
        <v>0.97163838148117065</v>
      </c>
      <c r="B46">
        <v>0.97150000000000003</v>
      </c>
      <c r="C46">
        <f t="shared" si="13"/>
        <v>0.94099867343902588</v>
      </c>
      <c r="D46">
        <f t="shared" si="18"/>
        <v>1.0032552480697632</v>
      </c>
      <c r="E46">
        <f t="shared" si="19"/>
        <v>0.9869999885559082</v>
      </c>
      <c r="F46">
        <f t="shared" si="20"/>
        <v>0.99220001697540283</v>
      </c>
      <c r="G46">
        <f t="shared" si="21"/>
        <v>0.9804999828338623</v>
      </c>
    </row>
    <row r="47" spans="1:12" x14ac:dyDescent="0.35">
      <c r="A47">
        <f t="shared" si="12"/>
        <v>0.96079468727111816</v>
      </c>
      <c r="B47">
        <v>0.96099999999999997</v>
      </c>
      <c r="C47">
        <f t="shared" si="13"/>
        <v>0.92033123970031738</v>
      </c>
      <c r="D47">
        <f t="shared" si="18"/>
        <v>1.0035057067871094</v>
      </c>
      <c r="E47">
        <f t="shared" si="19"/>
        <v>0.98600000143051147</v>
      </c>
      <c r="F47">
        <f t="shared" si="20"/>
        <v>0.99159997701644897</v>
      </c>
      <c r="G47">
        <f t="shared" si="21"/>
        <v>0.97899997234344482</v>
      </c>
    </row>
    <row r="48" spans="1:12" x14ac:dyDescent="0.35">
      <c r="A48">
        <f t="shared" si="12"/>
        <v>0.94951474666595459</v>
      </c>
      <c r="B48">
        <v>0.94940000000000002</v>
      </c>
      <c r="C48">
        <f t="shared" si="13"/>
        <v>0.89959496259689331</v>
      </c>
      <c r="D48">
        <f t="shared" si="18"/>
        <v>1.003756046295166</v>
      </c>
      <c r="E48">
        <f t="shared" si="19"/>
        <v>0.98500001430511475</v>
      </c>
      <c r="F48">
        <f t="shared" si="20"/>
        <v>0.99099999666213989</v>
      </c>
      <c r="G48">
        <f t="shared" si="21"/>
        <v>0.97750002145767212</v>
      </c>
    </row>
    <row r="49" spans="4:7" x14ac:dyDescent="0.35">
      <c r="D49">
        <f t="shared" si="18"/>
        <v>1.0040065050125122</v>
      </c>
      <c r="E49">
        <f t="shared" si="19"/>
        <v>0.98400002717971802</v>
      </c>
      <c r="F49">
        <f t="shared" si="20"/>
        <v>0.99040001630783081</v>
      </c>
      <c r="G49">
        <f t="shared" si="21"/>
        <v>0.97600001096725464</v>
      </c>
    </row>
    <row r="50" spans="4:7" x14ac:dyDescent="0.35">
      <c r="D50">
        <f t="shared" si="18"/>
        <v>1.0042568445205688</v>
      </c>
      <c r="E50">
        <f t="shared" si="19"/>
        <v>0.98299998044967651</v>
      </c>
      <c r="F50">
        <f t="shared" si="20"/>
        <v>0.98979997634887695</v>
      </c>
      <c r="G50">
        <f t="shared" si="21"/>
        <v>0.97450000047683716</v>
      </c>
    </row>
    <row r="51" spans="4:7" x14ac:dyDescent="0.35">
      <c r="D51">
        <f t="shared" si="18"/>
        <v>1.004507303237915</v>
      </c>
      <c r="E51">
        <f t="shared" si="19"/>
        <v>0.98199999332427979</v>
      </c>
      <c r="F51">
        <f t="shared" si="20"/>
        <v>0.98919999599456787</v>
      </c>
      <c r="G51">
        <f t="shared" si="21"/>
        <v>0.97299998998641968</v>
      </c>
    </row>
    <row r="52" spans="4:7" x14ac:dyDescent="0.35">
      <c r="D52">
        <f t="shared" si="18"/>
        <v>1.0047576427459717</v>
      </c>
      <c r="E52">
        <f t="shared" si="19"/>
        <v>0.98100000619888306</v>
      </c>
      <c r="F52">
        <f t="shared" si="20"/>
        <v>0.98860001564025879</v>
      </c>
      <c r="G52">
        <f t="shared" si="21"/>
        <v>0.9714999794960022</v>
      </c>
    </row>
    <row r="53" spans="4:7" x14ac:dyDescent="0.35">
      <c r="D53">
        <f t="shared" si="18"/>
        <v>1.0050081014633179</v>
      </c>
      <c r="E53">
        <f t="shared" si="19"/>
        <v>0.98000001907348633</v>
      </c>
      <c r="F53">
        <f t="shared" si="20"/>
        <v>0.98799997568130493</v>
      </c>
      <c r="G53">
        <f t="shared" si="21"/>
        <v>0.97000002861022949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C1:N30"/>
  <sheetViews>
    <sheetView workbookViewId="0">
      <selection activeCell="L32" sqref="L32"/>
    </sheetView>
  </sheetViews>
  <sheetFormatPr defaultRowHeight="14.5" x14ac:dyDescent="0.35"/>
  <cols>
    <col min="1" max="1" width="2.453125" customWidth="1"/>
    <col min="2" max="2" width="22.26953125" customWidth="1"/>
  </cols>
  <sheetData>
    <row r="1" spans="3:14" ht="15" thickBot="1" x14ac:dyDescent="0.4">
      <c r="C1" s="433" t="s">
        <v>256</v>
      </c>
      <c r="D1" s="434"/>
      <c r="E1" s="434"/>
      <c r="F1" s="434"/>
      <c r="G1" s="434"/>
      <c r="H1" s="434"/>
      <c r="I1" s="435"/>
    </row>
    <row r="2" spans="3:14" ht="15.5" x14ac:dyDescent="0.35">
      <c r="C2" s="275" t="s">
        <v>10</v>
      </c>
      <c r="D2" s="276"/>
      <c r="E2" s="276"/>
      <c r="F2" s="276"/>
      <c r="G2" s="276"/>
      <c r="H2" s="276"/>
      <c r="I2" s="277"/>
      <c r="J2" s="23"/>
      <c r="K2" s="23"/>
      <c r="L2" s="23"/>
      <c r="M2" s="23"/>
      <c r="N2" s="23"/>
    </row>
    <row r="3" spans="3:14" ht="15.5" x14ac:dyDescent="0.35">
      <c r="C3" s="27"/>
      <c r="D3" s="24">
        <v>-40</v>
      </c>
      <c r="E3" s="24">
        <v>-28</v>
      </c>
      <c r="F3" s="24">
        <v>-10.199999999999999</v>
      </c>
      <c r="G3" s="24">
        <v>-3.1</v>
      </c>
      <c r="H3" s="24">
        <v>15</v>
      </c>
      <c r="I3" s="28">
        <v>37</v>
      </c>
      <c r="J3" s="22"/>
      <c r="K3" s="22"/>
      <c r="L3" s="22"/>
      <c r="M3" s="22"/>
      <c r="N3" s="22"/>
    </row>
    <row r="4" spans="3:14" ht="15.5" x14ac:dyDescent="0.35">
      <c r="C4" s="27">
        <v>1</v>
      </c>
      <c r="D4" s="24">
        <v>170</v>
      </c>
      <c r="E4" s="24">
        <v>170</v>
      </c>
      <c r="F4" s="24">
        <v>169.4</v>
      </c>
      <c r="G4" s="24">
        <v>163.5</v>
      </c>
      <c r="H4" s="24">
        <v>148.19999999999999</v>
      </c>
      <c r="I4" s="28">
        <v>128.6</v>
      </c>
    </row>
    <row r="5" spans="3:14" ht="15.5" x14ac:dyDescent="0.35">
      <c r="C5" s="27">
        <v>0.75</v>
      </c>
      <c r="D5" s="24">
        <v>127.3</v>
      </c>
      <c r="E5" s="24">
        <v>127.3</v>
      </c>
      <c r="F5" s="24">
        <v>127.3</v>
      </c>
      <c r="G5" s="24">
        <v>123.6</v>
      </c>
      <c r="H5" s="24">
        <v>111.9</v>
      </c>
      <c r="I5" s="28">
        <v>96.9</v>
      </c>
    </row>
    <row r="6" spans="3:14" ht="15.5" x14ac:dyDescent="0.35">
      <c r="C6" s="27">
        <v>0.5</v>
      </c>
      <c r="D6" s="24">
        <v>84.5</v>
      </c>
      <c r="E6" s="24">
        <v>84.5</v>
      </c>
      <c r="F6" s="24">
        <v>84.5</v>
      </c>
      <c r="G6" s="24">
        <v>82.6</v>
      </c>
      <c r="H6" s="24">
        <v>74.7</v>
      </c>
      <c r="I6" s="28">
        <v>64.5</v>
      </c>
    </row>
    <row r="7" spans="3:14" ht="15.5" x14ac:dyDescent="0.35">
      <c r="C7" s="29"/>
      <c r="D7" s="30"/>
      <c r="E7" s="30"/>
      <c r="F7" s="30"/>
      <c r="G7" s="30"/>
      <c r="H7" s="30"/>
      <c r="I7" s="31"/>
    </row>
    <row r="8" spans="3:14" ht="15.5" x14ac:dyDescent="0.35">
      <c r="C8" s="29"/>
      <c r="D8" s="30"/>
      <c r="E8" s="30"/>
      <c r="F8" s="30"/>
      <c r="G8" s="30"/>
      <c r="H8" s="30"/>
      <c r="I8" s="31"/>
    </row>
    <row r="9" spans="3:14" ht="15.5" x14ac:dyDescent="0.35">
      <c r="C9" s="29"/>
      <c r="D9" s="30"/>
      <c r="E9" s="30"/>
      <c r="F9" s="30"/>
      <c r="G9" s="30"/>
      <c r="H9" s="30"/>
      <c r="I9" s="31"/>
    </row>
    <row r="10" spans="3:14" ht="15.5" x14ac:dyDescent="0.35">
      <c r="C10" s="282" t="s">
        <v>11</v>
      </c>
      <c r="D10" s="283"/>
      <c r="E10" s="283"/>
      <c r="F10" s="283"/>
      <c r="G10" s="283"/>
      <c r="H10" s="283"/>
      <c r="I10" s="284"/>
      <c r="J10" s="23"/>
      <c r="K10" s="23"/>
      <c r="L10" s="23"/>
      <c r="M10" s="23"/>
      <c r="N10" s="23"/>
    </row>
    <row r="11" spans="3:14" ht="15.5" x14ac:dyDescent="0.35">
      <c r="C11" s="27"/>
      <c r="D11" s="24">
        <v>-40</v>
      </c>
      <c r="E11" s="24">
        <v>-28</v>
      </c>
      <c r="F11" s="24">
        <v>-10.199999999999999</v>
      </c>
      <c r="G11" s="24">
        <v>-3.1</v>
      </c>
      <c r="H11" s="24">
        <v>15</v>
      </c>
      <c r="I11" s="28">
        <v>37</v>
      </c>
    </row>
    <row r="12" spans="3:14" ht="15.5" x14ac:dyDescent="0.35">
      <c r="C12" s="27">
        <v>1</v>
      </c>
      <c r="D12" s="24">
        <v>34.520000000000003</v>
      </c>
      <c r="E12" s="24">
        <v>34.5</v>
      </c>
      <c r="F12" s="24">
        <v>34.36</v>
      </c>
      <c r="G12" s="24">
        <v>34.15</v>
      </c>
      <c r="H12" s="24">
        <v>33.44</v>
      </c>
      <c r="I12" s="28">
        <v>32.15</v>
      </c>
    </row>
    <row r="13" spans="3:14" ht="15.5" x14ac:dyDescent="0.35">
      <c r="C13" s="27">
        <v>0.75</v>
      </c>
      <c r="D13" s="24">
        <v>32.229999999999997</v>
      </c>
      <c r="E13" s="24">
        <v>32.22</v>
      </c>
      <c r="F13" s="24">
        <v>32.15</v>
      </c>
      <c r="G13" s="24">
        <v>31.94</v>
      </c>
      <c r="H13" s="24">
        <v>31.26</v>
      </c>
      <c r="I13" s="28">
        <v>30.02</v>
      </c>
    </row>
    <row r="14" spans="3:14" ht="15.5" x14ac:dyDescent="0.35">
      <c r="C14" s="27">
        <v>0.5</v>
      </c>
      <c r="D14" s="24">
        <v>27.83</v>
      </c>
      <c r="E14" s="24">
        <v>27.82</v>
      </c>
      <c r="F14" s="24">
        <v>27.79</v>
      </c>
      <c r="G14" s="24">
        <v>27.61</v>
      </c>
      <c r="H14" s="24">
        <v>27.02</v>
      </c>
      <c r="I14" s="28">
        <v>25.93</v>
      </c>
    </row>
    <row r="15" spans="3:14" ht="15.5" x14ac:dyDescent="0.35">
      <c r="C15" s="29"/>
      <c r="D15" s="30"/>
      <c r="E15" s="30"/>
      <c r="F15" s="30"/>
      <c r="G15" s="30"/>
      <c r="H15" s="30"/>
      <c r="I15" s="31"/>
    </row>
    <row r="16" spans="3:14" ht="15.5" x14ac:dyDescent="0.35">
      <c r="C16" s="29"/>
      <c r="D16" s="30"/>
      <c r="E16" s="30"/>
      <c r="F16" s="30"/>
      <c r="G16" s="30"/>
      <c r="H16" s="30"/>
      <c r="I16" s="31"/>
    </row>
    <row r="17" spans="3:14" ht="15.5" x14ac:dyDescent="0.35">
      <c r="C17" s="29"/>
      <c r="D17" s="30"/>
      <c r="E17" s="30"/>
      <c r="F17" s="30"/>
      <c r="G17" s="30"/>
      <c r="H17" s="30"/>
      <c r="I17" s="31"/>
    </row>
    <row r="18" spans="3:14" ht="15.5" x14ac:dyDescent="0.35">
      <c r="C18" s="282" t="s">
        <v>14</v>
      </c>
      <c r="D18" s="283"/>
      <c r="E18" s="283"/>
      <c r="F18" s="283"/>
      <c r="G18" s="283"/>
      <c r="H18" s="283"/>
      <c r="I18" s="284"/>
      <c r="J18" s="23"/>
      <c r="K18" s="23"/>
      <c r="L18" s="23"/>
      <c r="M18" s="23"/>
      <c r="N18" s="23"/>
    </row>
    <row r="19" spans="3:14" ht="15.5" x14ac:dyDescent="0.35">
      <c r="C19" s="27"/>
      <c r="D19" s="24">
        <v>-40</v>
      </c>
      <c r="E19" s="24">
        <v>-28</v>
      </c>
      <c r="F19" s="24">
        <v>-10.199999999999999</v>
      </c>
      <c r="G19" s="24">
        <v>-3.1</v>
      </c>
      <c r="H19" s="24">
        <v>15</v>
      </c>
      <c r="I19" s="28">
        <v>37</v>
      </c>
    </row>
    <row r="20" spans="3:14" ht="15.5" x14ac:dyDescent="0.35">
      <c r="C20" s="27">
        <v>1</v>
      </c>
      <c r="D20" s="24">
        <v>513.6</v>
      </c>
      <c r="E20" s="24">
        <v>521</v>
      </c>
      <c r="F20" s="24">
        <v>531.5</v>
      </c>
      <c r="G20" s="24">
        <v>522</v>
      </c>
      <c r="H20" s="24">
        <v>494.6</v>
      </c>
      <c r="I20" s="28">
        <v>452.1</v>
      </c>
    </row>
    <row r="21" spans="3:14" ht="15.5" x14ac:dyDescent="0.35">
      <c r="C21" s="27">
        <v>0.75</v>
      </c>
      <c r="D21" s="24">
        <v>431.4</v>
      </c>
      <c r="E21" s="24">
        <v>437.5</v>
      </c>
      <c r="F21" s="24">
        <v>447.6</v>
      </c>
      <c r="G21" s="24">
        <v>441.4</v>
      </c>
      <c r="H21" s="24">
        <v>418.2</v>
      </c>
      <c r="I21" s="28">
        <v>382</v>
      </c>
    </row>
    <row r="22" spans="3:14" ht="15.5" x14ac:dyDescent="0.35">
      <c r="C22" s="27">
        <v>0.5</v>
      </c>
      <c r="D22" s="24">
        <v>357</v>
      </c>
      <c r="E22" s="24">
        <v>362</v>
      </c>
      <c r="F22" s="24">
        <v>370.2</v>
      </c>
      <c r="G22" s="24">
        <v>367.2</v>
      </c>
      <c r="H22" s="24">
        <v>347.7</v>
      </c>
      <c r="I22" s="28">
        <v>317.60000000000002</v>
      </c>
    </row>
    <row r="23" spans="3:14" ht="15.5" x14ac:dyDescent="0.35">
      <c r="C23" s="29"/>
      <c r="D23" s="30"/>
      <c r="E23" s="30"/>
      <c r="F23" s="30"/>
      <c r="G23" s="30"/>
      <c r="H23" s="30"/>
      <c r="I23" s="31"/>
    </row>
    <row r="24" spans="3:14" ht="15.5" x14ac:dyDescent="0.35">
      <c r="C24" s="29"/>
      <c r="D24" s="30"/>
      <c r="E24" s="30"/>
      <c r="F24" s="30"/>
      <c r="G24" s="30"/>
      <c r="H24" s="30"/>
      <c r="I24" s="31"/>
    </row>
    <row r="25" spans="3:14" ht="15.5" x14ac:dyDescent="0.35">
      <c r="C25" s="29"/>
      <c r="D25" s="30"/>
      <c r="E25" s="30"/>
      <c r="F25" s="30"/>
      <c r="G25" s="30"/>
      <c r="H25" s="30"/>
      <c r="I25" s="31"/>
    </row>
    <row r="26" spans="3:14" ht="15.5" x14ac:dyDescent="0.35">
      <c r="C26" s="282" t="s">
        <v>15</v>
      </c>
      <c r="D26" s="283"/>
      <c r="E26" s="283"/>
      <c r="F26" s="283"/>
      <c r="G26" s="283"/>
      <c r="H26" s="283"/>
      <c r="I26" s="284"/>
      <c r="J26" s="23"/>
      <c r="K26" s="23"/>
      <c r="L26" s="23"/>
      <c r="M26" s="23"/>
      <c r="N26" s="23"/>
    </row>
    <row r="27" spans="3:14" ht="15.5" x14ac:dyDescent="0.35">
      <c r="C27" s="27"/>
      <c r="D27" s="24">
        <v>-40</v>
      </c>
      <c r="E27" s="24">
        <v>-28</v>
      </c>
      <c r="F27" s="24">
        <v>-10.199999999999999</v>
      </c>
      <c r="G27" s="24">
        <v>-3.1</v>
      </c>
      <c r="H27" s="24">
        <v>15</v>
      </c>
      <c r="I27" s="28">
        <v>37</v>
      </c>
    </row>
    <row r="28" spans="3:14" ht="15.5" x14ac:dyDescent="0.35">
      <c r="C28" s="27">
        <v>1</v>
      </c>
      <c r="D28" s="24">
        <v>523.5</v>
      </c>
      <c r="E28" s="24">
        <v>527.29999999999995</v>
      </c>
      <c r="F28" s="24">
        <v>532.9</v>
      </c>
      <c r="G28" s="24">
        <v>535</v>
      </c>
      <c r="H28" s="24">
        <v>542.20000000000005</v>
      </c>
      <c r="I28" s="28">
        <v>557.9</v>
      </c>
    </row>
    <row r="29" spans="3:14" ht="15.5" x14ac:dyDescent="0.35">
      <c r="C29" s="27">
        <v>0.75</v>
      </c>
      <c r="D29" s="24">
        <v>522.1</v>
      </c>
      <c r="E29" s="24">
        <v>525.9</v>
      </c>
      <c r="F29" s="24">
        <v>531.4</v>
      </c>
      <c r="G29" s="24">
        <v>533.6</v>
      </c>
      <c r="H29" s="24">
        <v>540.9</v>
      </c>
      <c r="I29" s="28">
        <v>556.70000000000005</v>
      </c>
    </row>
    <row r="30" spans="3:14" ht="16" thickBot="1" x14ac:dyDescent="0.4">
      <c r="C30" s="33">
        <v>0.5</v>
      </c>
      <c r="D30" s="34">
        <v>510.4</v>
      </c>
      <c r="E30" s="34">
        <v>514.1</v>
      </c>
      <c r="F30" s="34">
        <v>519.4</v>
      </c>
      <c r="G30" s="34">
        <v>521.6</v>
      </c>
      <c r="H30" s="34">
        <v>528.9</v>
      </c>
      <c r="I30" s="35">
        <v>544.5</v>
      </c>
    </row>
  </sheetData>
  <mergeCells count="5">
    <mergeCell ref="C1:I1"/>
    <mergeCell ref="C26:I26"/>
    <mergeCell ref="C2:I2"/>
    <mergeCell ref="C10:I10"/>
    <mergeCell ref="C18:I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Модель ГТУ</vt:lpstr>
      <vt:lpstr>КУ+ПТ номинальный режим</vt:lpstr>
      <vt:lpstr>Теплофикационные режимы</vt:lpstr>
      <vt:lpstr>Лист1</vt:lpstr>
      <vt:lpstr>Конденсационные режимы</vt:lpstr>
      <vt:lpstr>Граф. исх. данных</vt:lpstr>
      <vt:lpstr>Таблицы для расчётов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</dc:creator>
  <cp:lastModifiedBy>Учетная запись сотрудника НОЦ (№3)</cp:lastModifiedBy>
  <dcterms:created xsi:type="dcterms:W3CDTF">2022-07-01T13:53:18Z</dcterms:created>
  <dcterms:modified xsi:type="dcterms:W3CDTF">2022-08-22T14:36:37Z</dcterms:modified>
</cp:coreProperties>
</file>