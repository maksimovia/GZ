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Documents\GitHub\GZ\"/>
    </mc:Choice>
  </mc:AlternateContent>
  <xr:revisionPtr revIDLastSave="0" documentId="13_ncr:1_{6897A9AC-EF1F-4C23-B399-34826792DAB2}" xr6:coauthVersionLast="40" xr6:coauthVersionMax="47" xr10:uidLastSave="{00000000-0000-0000-0000-000000000000}"/>
  <bookViews>
    <workbookView xWindow="-14505" yWindow="-105" windowWidth="14625" windowHeight="25215" firstSheet="3" activeTab="4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66" i="13" l="1"/>
  <c r="J282" i="13" l="1"/>
  <c r="J285" i="13"/>
  <c r="H13" i="15" l="1"/>
  <c r="I13" i="15"/>
  <c r="I17" i="15" s="1"/>
  <c r="J13" i="15"/>
  <c r="J17" i="15" s="1"/>
  <c r="K13" i="15"/>
  <c r="K17" i="15" s="1"/>
  <c r="H14" i="15"/>
  <c r="I14" i="15"/>
  <c r="I18" i="15" s="1"/>
  <c r="J14" i="15"/>
  <c r="J18" i="15" s="1"/>
  <c r="K14" i="15"/>
  <c r="K18" i="15" s="1"/>
  <c r="H15" i="15"/>
  <c r="I15" i="15"/>
  <c r="J15" i="15"/>
  <c r="K15" i="15"/>
  <c r="G17" i="15"/>
  <c r="H17" i="15"/>
  <c r="A17" i="15"/>
  <c r="A18" i="15" s="1"/>
  <c r="B13" i="15"/>
  <c r="B17" i="15" s="1"/>
  <c r="C13" i="15"/>
  <c r="C17" i="15" s="1"/>
  <c r="D13" i="15"/>
  <c r="D17" i="15" s="1"/>
  <c r="E13" i="15"/>
  <c r="E17" i="15" s="1"/>
  <c r="E18" i="15" s="1"/>
  <c r="F13" i="15"/>
  <c r="F17" i="15" s="1"/>
  <c r="G13" i="15"/>
  <c r="B14" i="15"/>
  <c r="B18" i="15" s="1"/>
  <c r="C14" i="15"/>
  <c r="C18" i="15" s="1"/>
  <c r="D14" i="15"/>
  <c r="D18" i="15" s="1"/>
  <c r="E14" i="15"/>
  <c r="F14" i="15"/>
  <c r="G14" i="15"/>
  <c r="G18" i="15" s="1"/>
  <c r="B15" i="15"/>
  <c r="C15" i="15"/>
  <c r="D15" i="15"/>
  <c r="E15" i="15"/>
  <c r="F15" i="15"/>
  <c r="G15" i="15"/>
  <c r="A14" i="15"/>
  <c r="A15" i="15"/>
  <c r="A13" i="15"/>
  <c r="B5" i="15"/>
  <c r="C5" i="15"/>
  <c r="B1" i="15"/>
  <c r="C1" i="15"/>
  <c r="D1" i="15"/>
  <c r="D5" i="15" s="1"/>
  <c r="E1" i="15"/>
  <c r="E5" i="15" s="1"/>
  <c r="F1" i="15"/>
  <c r="F5" i="15" s="1"/>
  <c r="B2" i="15"/>
  <c r="B6" i="15" s="1"/>
  <c r="C2" i="15"/>
  <c r="C6" i="15" s="1"/>
  <c r="D2" i="15"/>
  <c r="D6" i="15" s="1"/>
  <c r="E2" i="15"/>
  <c r="E6" i="15" s="1"/>
  <c r="F2" i="15"/>
  <c r="F6" i="15" s="1"/>
  <c r="B3" i="15"/>
  <c r="C3" i="15"/>
  <c r="D3" i="15"/>
  <c r="E3" i="15"/>
  <c r="F3" i="15"/>
  <c r="A2" i="15"/>
  <c r="A3" i="15"/>
  <c r="A1" i="15"/>
  <c r="A5" i="15" s="1"/>
  <c r="M274" i="13"/>
  <c r="L274" i="13"/>
  <c r="K274" i="13"/>
  <c r="J274" i="13"/>
  <c r="N153" i="13"/>
  <c r="N154" i="13" s="1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V6" i="14" s="1"/>
  <c r="C7" i="14"/>
  <c r="C13" i="14" s="1"/>
  <c r="B9" i="14"/>
  <c r="F13" i="14"/>
  <c r="F12" i="14"/>
  <c r="A6" i="15" l="1"/>
  <c r="F18" i="15"/>
  <c r="H18" i="15"/>
  <c r="M153" i="13"/>
  <c r="F6" i="14"/>
  <c r="F4" i="14"/>
  <c r="F7" i="14"/>
  <c r="C15" i="14"/>
  <c r="F15" i="14"/>
  <c r="C16" i="14"/>
  <c r="F16" i="14"/>
  <c r="V8" i="14"/>
  <c r="F14" i="14"/>
  <c r="F8" i="14" l="1"/>
  <c r="N41" i="14"/>
  <c r="N40" i="14"/>
  <c r="J4" i="14"/>
  <c r="X16" i="14"/>
  <c r="F5" i="14"/>
  <c r="F17" i="14"/>
  <c r="J5" i="14" l="1"/>
  <c r="J3" i="14" s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X19" i="14"/>
  <c r="C40" i="14" l="1"/>
  <c r="F40" i="14"/>
  <c r="J2" i="14"/>
  <c r="X22" i="14"/>
  <c r="F41" i="14"/>
  <c r="F39" i="14"/>
  <c r="S16" i="14" l="1"/>
  <c r="F42" i="14"/>
  <c r="F48" i="14" s="1"/>
  <c r="X23" i="14"/>
  <c r="X20" i="14" s="1"/>
  <c r="F35" i="14"/>
  <c r="F33" i="14"/>
  <c r="S17" i="14"/>
  <c r="F34" i="14"/>
  <c r="F31" i="14" s="1"/>
  <c r="C42" i="14"/>
  <c r="C43" i="14"/>
  <c r="F43" i="14"/>
  <c r="S19" i="14"/>
  <c r="N4" i="14" l="1"/>
  <c r="K17" i="14" s="1"/>
  <c r="N46" i="14"/>
  <c r="B45" i="14"/>
  <c r="S45" i="14"/>
  <c r="S18" i="14"/>
  <c r="S22" i="14"/>
  <c r="F44" i="14"/>
  <c r="T14" i="14"/>
  <c r="G46" i="14"/>
  <c r="J24" i="14" l="1"/>
  <c r="J17" i="14" s="1"/>
  <c r="J7" i="14" s="1"/>
  <c r="S23" i="14"/>
  <c r="S20" i="14" s="1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S43" i="14"/>
  <c r="C44" i="14"/>
  <c r="C5" i="14"/>
  <c r="C17" i="14"/>
  <c r="J8" i="14"/>
  <c r="S31" i="14" l="1"/>
  <c r="S34" i="14" s="1"/>
  <c r="J9" i="14"/>
  <c r="J18" i="14" s="1"/>
  <c r="F24" i="14"/>
  <c r="F26" i="14"/>
  <c r="F9" i="14"/>
  <c r="C23" i="14"/>
  <c r="C50" i="14"/>
  <c r="C52" i="14"/>
  <c r="F52" i="14"/>
  <c r="AQ52" i="14"/>
  <c r="AR52" i="14"/>
  <c r="AW52" i="14"/>
  <c r="S35" i="14" l="1"/>
  <c r="S32" i="14" s="1"/>
  <c r="D9" i="14"/>
  <c r="C8" i="14" s="1"/>
  <c r="C6" i="14" s="1"/>
  <c r="H9" i="14"/>
  <c r="F18" i="14"/>
  <c r="AY52" i="14"/>
  <c r="J11" i="14"/>
  <c r="J6" i="14"/>
  <c r="F53" i="14"/>
  <c r="AX52" i="14"/>
  <c r="J16" i="14" l="1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T59" i="8" s="1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T53" i="8" s="1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T45" i="8" s="1"/>
  <c r="S44" i="8"/>
  <c r="R44" i="8"/>
  <c r="Q44" i="8"/>
  <c r="P44" i="8"/>
  <c r="O44" i="8"/>
  <c r="N44" i="8"/>
  <c r="S43" i="8"/>
  <c r="R43" i="8"/>
  <c r="Q43" i="8"/>
  <c r="P43" i="8"/>
  <c r="O43" i="8"/>
  <c r="N43" i="8"/>
  <c r="C24" i="14"/>
  <c r="B21" i="8"/>
  <c r="B19" i="8"/>
  <c r="B14" i="8"/>
  <c r="B22" i="8"/>
  <c r="B17" i="8"/>
  <c r="B16" i="8"/>
  <c r="B23" i="8"/>
  <c r="B12" i="8"/>
  <c r="B20" i="8"/>
  <c r="B15" i="8"/>
  <c r="B24" i="8"/>
  <c r="B13" i="8"/>
  <c r="B25" i="8"/>
  <c r="B18" i="8"/>
  <c r="C82" i="14" l="1"/>
  <c r="D82" i="14" s="1"/>
  <c r="D76" i="14"/>
  <c r="C30" i="14"/>
  <c r="F30" i="14" s="1"/>
  <c r="F32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G38" i="3"/>
  <c r="E47" i="3"/>
  <c r="G33" i="3"/>
  <c r="G48" i="3"/>
  <c r="G34" i="3"/>
  <c r="A22" i="3"/>
  <c r="D48" i="3"/>
  <c r="C47" i="3"/>
  <c r="G41" i="3"/>
  <c r="M27" i="3"/>
  <c r="A47" i="3"/>
  <c r="G39" i="3"/>
  <c r="C41" i="3"/>
  <c r="D35" i="3"/>
  <c r="L27" i="3"/>
  <c r="D50" i="3"/>
  <c r="E21" i="3"/>
  <c r="A15" i="3"/>
  <c r="G52" i="3"/>
  <c r="E43" i="3"/>
  <c r="A20" i="3"/>
  <c r="G42" i="3"/>
  <c r="J39" i="3"/>
  <c r="A35" i="3"/>
  <c r="D38" i="3"/>
  <c r="L24" i="3"/>
  <c r="H22" i="3"/>
  <c r="A40" i="3"/>
  <c r="C45" i="3"/>
  <c r="K24" i="3"/>
  <c r="F37" i="3"/>
  <c r="E16" i="3"/>
  <c r="H26" i="3"/>
  <c r="F52" i="3"/>
  <c r="F51" i="3"/>
  <c r="J36" i="3"/>
  <c r="G53" i="3"/>
  <c r="E53" i="3"/>
  <c r="C40" i="3"/>
  <c r="K36" i="3"/>
  <c r="C46" i="3"/>
  <c r="G44" i="3"/>
  <c r="E28" i="3"/>
  <c r="M23" i="3"/>
  <c r="M25" i="3"/>
  <c r="I42" i="3"/>
  <c r="E45" i="3"/>
  <c r="F38" i="3"/>
  <c r="H14" i="3"/>
  <c r="C38" i="3"/>
  <c r="M26" i="3"/>
  <c r="A43" i="3"/>
  <c r="F48" i="3"/>
  <c r="C48" i="3"/>
  <c r="E19" i="3"/>
  <c r="H16" i="3"/>
  <c r="H18" i="3"/>
  <c r="D53" i="3"/>
  <c r="A26" i="3"/>
  <c r="A44" i="3"/>
  <c r="H13" i="3"/>
  <c r="A28" i="3"/>
  <c r="H23" i="3"/>
  <c r="L26" i="3"/>
  <c r="D42" i="3"/>
  <c r="A48" i="3"/>
  <c r="M21" i="3"/>
  <c r="D47" i="3"/>
  <c r="G45" i="3"/>
  <c r="F34" i="3"/>
  <c r="C36" i="3"/>
  <c r="F36" i="3"/>
  <c r="E37" i="3"/>
  <c r="D49" i="3"/>
  <c r="A16" i="3"/>
  <c r="F35" i="3"/>
  <c r="E38" i="3"/>
  <c r="L25" i="3"/>
  <c r="C44" i="3"/>
  <c r="K43" i="3"/>
  <c r="K42" i="3"/>
  <c r="K35" i="3"/>
  <c r="G51" i="3"/>
  <c r="H28" i="3"/>
  <c r="G43" i="3"/>
  <c r="E51" i="3"/>
  <c r="A37" i="3"/>
  <c r="K22" i="3"/>
  <c r="K27" i="3"/>
  <c r="H21" i="3"/>
  <c r="K39" i="3"/>
  <c r="L23" i="3"/>
  <c r="J44" i="3"/>
  <c r="D34" i="3"/>
  <c r="F47" i="3"/>
  <c r="M24" i="3"/>
  <c r="D51" i="3"/>
  <c r="C42" i="3"/>
  <c r="J43" i="3"/>
  <c r="A17" i="3"/>
  <c r="I37" i="3"/>
  <c r="G47" i="3"/>
  <c r="M28" i="3"/>
  <c r="C43" i="3"/>
  <c r="E23" i="3"/>
  <c r="E15" i="3"/>
  <c r="I40" i="3"/>
  <c r="C33" i="3"/>
  <c r="A33" i="3"/>
  <c r="D40" i="3"/>
  <c r="A14" i="3"/>
  <c r="F39" i="3"/>
  <c r="E40" i="3"/>
  <c r="A36" i="3"/>
  <c r="E27" i="3"/>
  <c r="A21" i="3"/>
  <c r="E49" i="3"/>
  <c r="E35" i="3"/>
  <c r="A23" i="3"/>
  <c r="E39" i="3"/>
  <c r="I35" i="3"/>
  <c r="G49" i="3"/>
  <c r="H29" i="3"/>
  <c r="A42" i="3"/>
  <c r="E14" i="3"/>
  <c r="E34" i="3"/>
  <c r="E25" i="3"/>
  <c r="C34" i="3"/>
  <c r="J41" i="3"/>
  <c r="H12" i="3"/>
  <c r="D43" i="3"/>
  <c r="I43" i="3"/>
  <c r="A41" i="3"/>
  <c r="J40" i="3"/>
  <c r="A19" i="3"/>
  <c r="A13" i="3"/>
  <c r="A27" i="3"/>
  <c r="E26" i="3"/>
  <c r="K28" i="3"/>
  <c r="E42" i="3"/>
  <c r="D52" i="3"/>
  <c r="J45" i="3"/>
  <c r="G40" i="3"/>
  <c r="I36" i="3"/>
  <c r="H25" i="3"/>
  <c r="E46" i="3"/>
  <c r="E52" i="3"/>
  <c r="D45" i="3"/>
  <c r="H27" i="3"/>
  <c r="D39" i="3"/>
  <c r="K38" i="3"/>
  <c r="F40" i="3"/>
  <c r="A39" i="3"/>
  <c r="J38" i="3"/>
  <c r="K25" i="3"/>
  <c r="J42" i="3"/>
  <c r="A38" i="3"/>
  <c r="E50" i="3"/>
  <c r="F49" i="3"/>
  <c r="E48" i="3"/>
  <c r="A45" i="3"/>
  <c r="D33" i="3"/>
  <c r="K23" i="3"/>
  <c r="I38" i="3"/>
  <c r="G36" i="3"/>
  <c r="A18" i="3"/>
  <c r="F46" i="3"/>
  <c r="H24" i="3"/>
  <c r="E18" i="3"/>
  <c r="D36" i="3"/>
  <c r="L21" i="3"/>
  <c r="D37" i="3"/>
  <c r="F41" i="3"/>
  <c r="K21" i="3"/>
  <c r="I44" i="3"/>
  <c r="H19" i="3"/>
  <c r="A46" i="3"/>
  <c r="H15" i="3"/>
  <c r="F43" i="3"/>
  <c r="H17" i="3"/>
  <c r="K40" i="3"/>
  <c r="F53" i="3"/>
  <c r="E24" i="3"/>
  <c r="G37" i="3"/>
  <c r="A25" i="3"/>
  <c r="K45" i="3"/>
  <c r="K26" i="3"/>
  <c r="K37" i="3"/>
  <c r="K44" i="3"/>
  <c r="E17" i="3"/>
  <c r="D41" i="3"/>
  <c r="C35" i="3"/>
  <c r="L28" i="3"/>
  <c r="E33" i="3"/>
  <c r="D44" i="3"/>
  <c r="C39" i="3"/>
  <c r="F45" i="3"/>
  <c r="A24" i="3"/>
  <c r="M22" i="3"/>
  <c r="A34" i="3"/>
  <c r="E20" i="3"/>
  <c r="E44" i="3"/>
  <c r="F33" i="3"/>
  <c r="G35" i="3"/>
  <c r="F42" i="3"/>
  <c r="I41" i="3"/>
  <c r="H20" i="3"/>
  <c r="E36" i="3"/>
  <c r="E41" i="3"/>
  <c r="J35" i="3"/>
  <c r="F44" i="3"/>
  <c r="G50" i="3"/>
  <c r="J37" i="3"/>
  <c r="E22" i="3"/>
  <c r="L22" i="3"/>
  <c r="D46" i="3"/>
  <c r="I39" i="3"/>
  <c r="G46" i="3"/>
  <c r="F50" i="3"/>
  <c r="K41" i="3"/>
  <c r="C37" i="3"/>
  <c r="T56" i="8" l="1"/>
  <c r="T51" i="8"/>
  <c r="K18" i="14"/>
  <c r="K16" i="14" s="1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C51" i="14" s="1"/>
  <c r="J21" i="14"/>
  <c r="N5" i="14" s="1"/>
  <c r="C39" i="14"/>
  <c r="F67" i="14"/>
  <c r="F72" i="14"/>
  <c r="I76" i="14" s="1"/>
  <c r="G68" i="14"/>
  <c r="C41" i="14"/>
  <c r="D37" i="14"/>
  <c r="C58" i="14"/>
  <c r="H67" i="14" l="1"/>
  <c r="I82" i="14"/>
  <c r="J82" i="14" s="1"/>
  <c r="J76" i="14"/>
  <c r="G72" i="14"/>
  <c r="H68" i="14"/>
  <c r="M76" i="14" s="1"/>
  <c r="J23" i="14"/>
  <c r="N3" i="14" l="1"/>
  <c r="N2" i="14" s="1"/>
  <c r="K76" i="14"/>
  <c r="H72" i="14"/>
  <c r="M82" i="14" s="1"/>
  <c r="L76" i="14" l="1"/>
  <c r="K82" i="14"/>
  <c r="L82" i="14" s="1"/>
  <c r="N8" i="14"/>
  <c r="N9" i="14" l="1"/>
  <c r="N11" i="14" s="1"/>
  <c r="N6" i="14"/>
  <c r="N12" i="14" l="1"/>
  <c r="R5" i="14"/>
  <c r="R2" i="14" s="1"/>
  <c r="R8" i="14" s="1"/>
  <c r="N10" i="14"/>
  <c r="R3" i="14" l="1"/>
  <c r="R9" i="14"/>
  <c r="V5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<sst xmlns="http://schemas.openxmlformats.org/spreadsheetml/2006/main" count="1539" uniqueCount="376">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</sst>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6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19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8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2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left" vertical="center" wrapText="1" inden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7" fillId="0" borderId="36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left" vertical="center" wrapText="1" indent="1"/>
    </xf>
    <xf numFmtId="0" fontId="1" fillId="0" borderId="4" xfId="2" applyFont="1" applyBorder="1" applyAlignment="1">
      <alignment horizontal="left" vertical="center" wrapText="1" inden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2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 2" xfId="2" xr:uid="{AC5AB59C-AD3E-4974-8671-25C81B541CFC}"/>
    <cellStyle name="Normal 3" xfId="3" xr:uid="{D8CC1351-64C8-4DDE-81D7-12E56AA199AB}"/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0</c:v>
                </c:pt>
                <c:pt idx="2">
                  <c:v>0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0</c:v>
                </c:pt>
                <c:pt idx="2">
                  <c:v>0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CoolProp"/>
    </sheetNames>
    <definedNames>
      <definedName name="MixtureString"/>
      <definedName name="PropsSI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75" x14ac:dyDescent="0.25"/>
  <cols>
    <col min="1" max="1" width="48.42578125" customWidth="1"/>
    <col min="3" max="3" width="10.140625" customWidth="1"/>
    <col min="4" max="10" width="9.140625" style="36"/>
  </cols>
  <sheetData>
    <row r="1" spans="1:15" s="2" customFormat="1" ht="16.5" thickBot="1" x14ac:dyDescent="0.3">
      <c r="A1" s="270" t="s">
        <v>253</v>
      </c>
      <c r="B1" s="271"/>
      <c r="D1" s="37"/>
      <c r="E1" s="37"/>
      <c r="F1" s="37"/>
      <c r="G1" s="37"/>
      <c r="H1" s="37"/>
      <c r="I1" s="37"/>
      <c r="J1" s="37"/>
    </row>
    <row r="2" spans="1:15" ht="16.5" thickBot="1" x14ac:dyDescent="0.3">
      <c r="A2" s="5" t="s">
        <v>10</v>
      </c>
      <c r="B2" s="6">
        <v>152.94999999999999</v>
      </c>
      <c r="D2" s="272" t="s">
        <v>256</v>
      </c>
      <c r="E2" s="273"/>
      <c r="F2" s="273"/>
      <c r="G2" s="273"/>
      <c r="H2" s="273"/>
      <c r="I2" s="273"/>
      <c r="J2" s="274"/>
    </row>
    <row r="3" spans="1:15" x14ac:dyDescent="0.25">
      <c r="A3" s="7" t="s">
        <v>11</v>
      </c>
      <c r="B3" s="8">
        <v>33.765000000000001</v>
      </c>
      <c r="D3" s="275" t="s">
        <v>10</v>
      </c>
      <c r="E3" s="276"/>
      <c r="F3" s="276"/>
      <c r="G3" s="276"/>
      <c r="H3" s="276"/>
      <c r="I3" s="276"/>
      <c r="J3" s="277"/>
      <c r="L3" t="s">
        <v>258</v>
      </c>
      <c r="M3" t="s">
        <v>259</v>
      </c>
      <c r="N3" t="s">
        <v>260</v>
      </c>
    </row>
    <row r="4" spans="1:15" x14ac:dyDescent="0.2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.5" thickBot="1" x14ac:dyDescent="0.3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.5" thickBot="1" x14ac:dyDescent="0.3">
      <c r="A6" s="278" t="s">
        <v>230</v>
      </c>
      <c r="B6" s="279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2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2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2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.5" thickBot="1" x14ac:dyDescent="0.3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.5" thickBot="1" x14ac:dyDescent="0.3">
      <c r="A11" s="280" t="s">
        <v>254</v>
      </c>
      <c r="B11" s="281"/>
      <c r="D11" s="282" t="s">
        <v>11</v>
      </c>
      <c r="E11" s="283"/>
      <c r="F11" s="283"/>
      <c r="G11" s="283"/>
      <c r="H11" s="283"/>
      <c r="I11" s="283"/>
      <c r="J11" s="284"/>
    </row>
    <row r="12" spans="1:15" x14ac:dyDescent="0.2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2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2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2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2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2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2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25">
      <c r="A19" s="13" t="s">
        <v>243</v>
      </c>
      <c r="B19" s="14">
        <f>tkt_gtu_n(B7)</f>
        <v>0.96950000524520874</v>
      </c>
      <c r="D19" s="282" t="s">
        <v>14</v>
      </c>
      <c r="E19" s="283"/>
      <c r="F19" s="283"/>
      <c r="G19" s="283"/>
      <c r="H19" s="283"/>
      <c r="I19" s="283"/>
      <c r="J19" s="284"/>
    </row>
    <row r="20" spans="1:10" x14ac:dyDescent="0.2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2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2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2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2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.5" thickBot="1" x14ac:dyDescent="0.3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.5" thickBot="1" x14ac:dyDescent="0.3">
      <c r="A26" s="285" t="s">
        <v>255</v>
      </c>
      <c r="B26" s="286"/>
      <c r="D26" s="29"/>
      <c r="E26" s="30"/>
      <c r="F26" s="30"/>
      <c r="G26" s="30"/>
      <c r="H26" s="30"/>
      <c r="I26" s="30"/>
      <c r="J26" s="31"/>
    </row>
    <row r="27" spans="1:10" x14ac:dyDescent="0.25">
      <c r="A27" s="5" t="s">
        <v>10</v>
      </c>
      <c r="B27" s="19">
        <f>B2*B12*B13*B14*B7</f>
        <v>65.725753298790622</v>
      </c>
      <c r="D27" s="282" t="s">
        <v>15</v>
      </c>
      <c r="E27" s="283"/>
      <c r="F27" s="283"/>
      <c r="G27" s="283"/>
      <c r="H27" s="283"/>
      <c r="I27" s="283"/>
      <c r="J27" s="284"/>
    </row>
    <row r="28" spans="1:10" x14ac:dyDescent="0.2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2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.5" thickBot="1" x14ac:dyDescent="0.3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.5" thickBot="1" x14ac:dyDescent="0.3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.5" thickBot="1" x14ac:dyDescent="0.3"/>
    <row r="39" spans="4:20" ht="16.5" thickBot="1" x14ac:dyDescent="0.3">
      <c r="D39" s="272" t="s">
        <v>261</v>
      </c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4"/>
    </row>
    <row r="40" spans="4:20" ht="16.5" thickBot="1" x14ac:dyDescent="0.3"/>
    <row r="41" spans="4:20" x14ac:dyDescent="0.25">
      <c r="D41" s="275" t="s">
        <v>10</v>
      </c>
      <c r="E41" s="276"/>
      <c r="F41" s="276"/>
      <c r="G41" s="276"/>
      <c r="H41" s="276"/>
      <c r="I41" s="276"/>
      <c r="J41" s="277"/>
      <c r="M41" s="275" t="s">
        <v>10</v>
      </c>
      <c r="N41" s="276"/>
      <c r="O41" s="276"/>
      <c r="P41" s="276"/>
      <c r="Q41" s="276"/>
      <c r="R41" s="276"/>
      <c r="S41" s="277"/>
    </row>
    <row r="42" spans="4:20" x14ac:dyDescent="0.2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2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2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2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2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25">
      <c r="D47" s="282" t="s">
        <v>11</v>
      </c>
      <c r="E47" s="283"/>
      <c r="F47" s="283"/>
      <c r="G47" s="283"/>
      <c r="H47" s="283"/>
      <c r="I47" s="283"/>
      <c r="J47" s="284"/>
      <c r="M47" s="282" t="s">
        <v>11</v>
      </c>
      <c r="N47" s="283"/>
      <c r="O47" s="283"/>
      <c r="P47" s="283"/>
      <c r="Q47" s="283"/>
      <c r="R47" s="283"/>
      <c r="S47" s="284"/>
    </row>
    <row r="48" spans="4:20" x14ac:dyDescent="0.2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2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2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2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25">
      <c r="D52" s="282" t="s">
        <v>14</v>
      </c>
      <c r="E52" s="283"/>
      <c r="F52" s="283"/>
      <c r="G52" s="283"/>
      <c r="H52" s="283"/>
      <c r="I52" s="283"/>
      <c r="J52" s="284"/>
      <c r="M52" s="282" t="s">
        <v>14</v>
      </c>
      <c r="N52" s="283"/>
      <c r="O52" s="283"/>
      <c r="P52" s="283"/>
      <c r="Q52" s="283"/>
      <c r="R52" s="283"/>
      <c r="S52" s="284"/>
    </row>
    <row r="53" spans="4:20" x14ac:dyDescent="0.2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2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2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2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25">
      <c r="D57" s="282" t="s">
        <v>15</v>
      </c>
      <c r="E57" s="283"/>
      <c r="F57" s="283"/>
      <c r="G57" s="283"/>
      <c r="H57" s="283"/>
      <c r="I57" s="283"/>
      <c r="J57" s="284"/>
      <c r="M57" s="282" t="s">
        <v>15</v>
      </c>
      <c r="N57" s="283"/>
      <c r="O57" s="283"/>
      <c r="P57" s="283"/>
      <c r="Q57" s="283"/>
      <c r="R57" s="283"/>
      <c r="S57" s="284"/>
    </row>
    <row r="58" spans="4:20" x14ac:dyDescent="0.2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2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2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25">
      <c r="T61">
        <f>MAX(T58:T60)</f>
        <v>0.79576297576075017</v>
      </c>
    </row>
  </sheetData>
  <mergeCells count="18"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  <mergeCell ref="A1:B1"/>
    <mergeCell ref="D2:J2"/>
    <mergeCell ref="D3:J3"/>
    <mergeCell ref="A6:B6"/>
    <mergeCell ref="A11:B11"/>
    <mergeCell ref="D11:J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zoomScale="85" zoomScaleNormal="85" workbookViewId="0">
      <selection activeCell="F5" sqref="F5"/>
    </sheetView>
  </sheetViews>
  <sheetFormatPr defaultColWidth="8.7109375" defaultRowHeight="15.75" x14ac:dyDescent="0.25"/>
  <cols>
    <col min="1" max="1" width="8.7109375" style="36"/>
    <col min="2" max="2" width="8.85546875" style="36" bestFit="1" customWidth="1"/>
    <col min="3" max="3" width="9.85546875" style="36" bestFit="1" customWidth="1"/>
    <col min="4" max="4" width="8.85546875" style="36" bestFit="1" customWidth="1"/>
    <col min="5" max="5" width="12.28515625" style="36" bestFit="1" customWidth="1"/>
    <col min="6" max="6" width="11.85546875" style="36" bestFit="1" customWidth="1"/>
    <col min="7" max="7" width="8.7109375" style="36"/>
    <col min="8" max="8" width="12.42578125" style="36" customWidth="1"/>
    <col min="9" max="9" width="8.85546875" style="36" bestFit="1" customWidth="1"/>
    <col min="10" max="10" width="9.85546875" style="36" bestFit="1" customWidth="1"/>
    <col min="11" max="12" width="8.85546875" style="36" bestFit="1" customWidth="1"/>
    <col min="13" max="13" width="8.7109375" style="36"/>
    <col min="14" max="14" width="9.85546875" style="36" bestFit="1" customWidth="1"/>
    <col min="15" max="15" width="8.7109375" style="36"/>
    <col min="16" max="16" width="8.85546875" style="36" bestFit="1" customWidth="1"/>
    <col min="17" max="17" width="8.7109375" style="36"/>
    <col min="18" max="18" width="8.85546875" style="36" bestFit="1" customWidth="1"/>
    <col min="19" max="19" width="9.85546875" style="36" bestFit="1" customWidth="1"/>
    <col min="20" max="20" width="12.85546875" style="36" bestFit="1" customWidth="1"/>
    <col min="21" max="21" width="8.85546875" style="36" bestFit="1" customWidth="1"/>
    <col min="22" max="23" width="8.7109375" style="36"/>
    <col min="24" max="24" width="8.85546875" style="36" bestFit="1" customWidth="1"/>
    <col min="25" max="26" width="8.7109375" style="36"/>
    <col min="27" max="27" width="14.5703125" style="36" customWidth="1"/>
    <col min="28" max="29" width="8.85546875" style="36" bestFit="1" customWidth="1"/>
    <col min="30" max="30" width="27.28515625" style="36" bestFit="1" customWidth="1"/>
    <col min="31" max="31" width="8.85546875" style="36" bestFit="1" customWidth="1"/>
    <col min="32" max="32" width="8.7109375" style="36"/>
    <col min="33" max="33" width="17.42578125" style="36" customWidth="1"/>
    <col min="34" max="16384" width="8.7109375" style="36"/>
  </cols>
  <sheetData>
    <row r="1" spans="1:29" x14ac:dyDescent="0.25">
      <c r="A1" s="233" t="s">
        <v>375</v>
      </c>
      <c r="B1" s="232"/>
      <c r="C1" s="232"/>
      <c r="D1" s="256" t="s">
        <v>339</v>
      </c>
      <c r="E1" s="232"/>
      <c r="F1" s="248"/>
      <c r="H1" s="247" t="s">
        <v>339</v>
      </c>
      <c r="I1" s="252" t="s">
        <v>374</v>
      </c>
      <c r="K1" s="213"/>
      <c r="L1" s="247" t="s">
        <v>339</v>
      </c>
      <c r="M1" s="252" t="s">
        <v>373</v>
      </c>
      <c r="O1" s="213"/>
      <c r="P1" s="247" t="s">
        <v>339</v>
      </c>
      <c r="Q1" s="36" t="s">
        <v>372</v>
      </c>
      <c r="S1" s="213"/>
      <c r="T1" s="233" t="s">
        <v>371</v>
      </c>
      <c r="U1" s="232"/>
      <c r="V1" s="232"/>
      <c r="W1" s="248"/>
    </row>
    <row r="2" spans="1:29" x14ac:dyDescent="0.25">
      <c r="A2" s="231" t="s">
        <v>322</v>
      </c>
      <c r="D2" s="240" t="s">
        <v>311</v>
      </c>
      <c r="G2" s="213"/>
      <c r="H2" s="240" t="s">
        <v>310</v>
      </c>
      <c r="I2" s="240" t="s">
        <v>306</v>
      </c>
      <c r="J2" s="240" t="e">
        <f ca="1">[1]!PropsSI("S","T",J3+273.15,"P",J4*10^6,"Water")/1000</f>
        <v>#NAME?</v>
      </c>
      <c r="K2" s="36" t="s">
        <v>350</v>
      </c>
      <c r="L2" s="240" t="s">
        <v>310</v>
      </c>
      <c r="M2" s="240" t="s">
        <v>306</v>
      </c>
      <c r="N2" s="240" t="e">
        <f ca="1">[1]!PropsSI("S","T",N3+273.15,"P",N4*10^6,"Water")/1000</f>
        <v>#NAME?</v>
      </c>
      <c r="O2" s="36" t="s">
        <v>350</v>
      </c>
      <c r="P2" s="240" t="s">
        <v>310</v>
      </c>
      <c r="Q2" s="240" t="s">
        <v>306</v>
      </c>
      <c r="R2" s="240" t="e">
        <f ca="1">[1]!PropsSI("S","H",R5*1000,"P",R4*10^6,"Water")/1000</f>
        <v>#NAME?</v>
      </c>
      <c r="S2" s="213"/>
      <c r="T2" s="269" t="s">
        <v>339</v>
      </c>
      <c r="W2" s="213"/>
    </row>
    <row r="3" spans="1:29" x14ac:dyDescent="0.25">
      <c r="A3" s="221" t="s">
        <v>310</v>
      </c>
      <c r="B3" s="228" t="s">
        <v>307</v>
      </c>
      <c r="C3" s="227">
        <f>R42</f>
        <v>542.1</v>
      </c>
      <c r="D3" s="240"/>
      <c r="E3" s="245" t="s">
        <v>307</v>
      </c>
      <c r="F3" s="244">
        <f>C3-K50</f>
        <v>511.5</v>
      </c>
      <c r="G3" s="213" t="s">
        <v>309</v>
      </c>
      <c r="H3" s="240"/>
      <c r="I3" s="240" t="s">
        <v>307</v>
      </c>
      <c r="J3" s="240" t="e">
        <f ca="1">[1]!PropsSI("T","P",J4*10^6,"H",J5*1000,"Water")-273.15</f>
        <v>#NAME?</v>
      </c>
      <c r="K3" s="213" t="s">
        <v>309</v>
      </c>
      <c r="L3" s="240"/>
      <c r="M3" s="240" t="s">
        <v>307</v>
      </c>
      <c r="N3" s="240" t="e">
        <f ca="1">J23</f>
        <v>#NAME?</v>
      </c>
      <c r="O3" s="213" t="s">
        <v>309</v>
      </c>
      <c r="P3" s="240"/>
      <c r="Q3" s="240" t="s">
        <v>307</v>
      </c>
      <c r="R3" s="240" t="e">
        <f ca="1">[1]!PropsSI("T","H",R5*1000,"P",R4*10^6,"Water")-273.15</f>
        <v>#NAME?</v>
      </c>
      <c r="S3" s="213" t="s">
        <v>309</v>
      </c>
      <c r="T3" s="242" t="s">
        <v>310</v>
      </c>
      <c r="U3" s="240" t="s">
        <v>307</v>
      </c>
      <c r="V3" s="240" t="e">
        <f ca="1">R6</f>
        <v>#NAME?</v>
      </c>
      <c r="W3" s="213" t="s">
        <v>309</v>
      </c>
      <c r="AC3" s="268"/>
    </row>
    <row r="4" spans="1:29" x14ac:dyDescent="0.25">
      <c r="A4" s="221"/>
      <c r="B4" s="221" t="s">
        <v>304</v>
      </c>
      <c r="C4" s="224">
        <v>0.1</v>
      </c>
      <c r="D4" s="240"/>
      <c r="E4" s="242" t="s">
        <v>304</v>
      </c>
      <c r="F4" s="267">
        <f>F13-L42</f>
        <v>8.407</v>
      </c>
      <c r="G4" s="213" t="s">
        <v>303</v>
      </c>
      <c r="H4" s="240"/>
      <c r="I4" s="240" t="s">
        <v>304</v>
      </c>
      <c r="J4" s="266">
        <f>F4-L41</f>
        <v>7.8449999999999998</v>
      </c>
      <c r="K4" s="213" t="s">
        <v>303</v>
      </c>
      <c r="L4" s="240"/>
      <c r="M4" s="240" t="s">
        <v>304</v>
      </c>
      <c r="N4" s="265">
        <f>F31-L46</f>
        <v>0.54899999999999993</v>
      </c>
      <c r="O4" s="213" t="s">
        <v>303</v>
      </c>
      <c r="P4" s="240"/>
      <c r="Q4" s="240" t="s">
        <v>304</v>
      </c>
      <c r="R4" s="265">
        <f>K28</f>
        <v>0.1525</v>
      </c>
      <c r="S4" s="213" t="s">
        <v>303</v>
      </c>
      <c r="T4" s="242"/>
      <c r="U4" s="240" t="s">
        <v>304</v>
      </c>
      <c r="V4" s="240">
        <f>R7</f>
        <v>8.0000000000000002E-3</v>
      </c>
      <c r="W4" s="213" t="s">
        <v>303</v>
      </c>
    </row>
    <row r="5" spans="1:29" x14ac:dyDescent="0.25">
      <c r="A5" s="221"/>
      <c r="B5" s="220" t="s">
        <v>300</v>
      </c>
      <c r="C5" s="219" t="e">
        <f ca="1">[1]!PropsSI("H","P",C4*10^6,"T",C3+273.15,"REFPROP::"&amp;[1]!MixtureString($Q$45:$Q$49,$S$45:$S$49))/1000</f>
        <v>#NAME?</v>
      </c>
      <c r="D5" s="240"/>
      <c r="E5" s="239" t="s">
        <v>299</v>
      </c>
      <c r="F5" s="238" t="e">
        <f ca="1">[1]!PropsSI("H","T",F3+273.15,"P",F4*10^6,"Water")/1000</f>
        <v>#NAME?</v>
      </c>
      <c r="G5" s="213" t="s">
        <v>298</v>
      </c>
      <c r="H5" s="240"/>
      <c r="I5" s="240" t="s">
        <v>299</v>
      </c>
      <c r="J5" s="240" t="e">
        <f ca="1">F5</f>
        <v>#NAME?</v>
      </c>
      <c r="K5" s="213" t="s">
        <v>298</v>
      </c>
      <c r="L5" s="240"/>
      <c r="M5" s="240" t="s">
        <v>299</v>
      </c>
      <c r="N5" s="240" t="e">
        <f ca="1">J21</f>
        <v>#NAME?</v>
      </c>
      <c r="O5" s="213" t="s">
        <v>298</v>
      </c>
      <c r="P5" s="240"/>
      <c r="Q5" s="240" t="s">
        <v>299</v>
      </c>
      <c r="R5" s="240" t="e">
        <f ca="1">N9</f>
        <v>#NAME?</v>
      </c>
      <c r="S5" s="213" t="s">
        <v>298</v>
      </c>
      <c r="T5" s="242"/>
      <c r="U5" s="240" t="s">
        <v>299</v>
      </c>
      <c r="V5" s="240" t="e">
        <f ca="1">R8</f>
        <v>#NAME?</v>
      </c>
      <c r="W5" s="213" t="s">
        <v>298</v>
      </c>
    </row>
    <row r="6" spans="1:29" x14ac:dyDescent="0.25">
      <c r="A6" s="221" t="s">
        <v>311</v>
      </c>
      <c r="B6" s="228" t="s">
        <v>307</v>
      </c>
      <c r="C6" s="227" t="e">
        <f ca="1">[1]!PropsSI("T","P",C4*10^6,"H",C8*1000,"REFPROP::"&amp;[1]!MixtureString($Q$45:$Q$49,$S$45:$S$49))-273.15</f>
        <v>#NAME?</v>
      </c>
      <c r="D6" s="240" t="s">
        <v>310</v>
      </c>
      <c r="E6" s="245" t="s">
        <v>307</v>
      </c>
      <c r="F6" s="244" t="e">
        <f ca="1">F12</f>
        <v>#NAME?</v>
      </c>
      <c r="G6" s="213" t="s">
        <v>309</v>
      </c>
      <c r="H6" s="240" t="s">
        <v>311</v>
      </c>
      <c r="I6" s="240" t="s">
        <v>307</v>
      </c>
      <c r="J6" s="240" t="e">
        <f ca="1">[1]!PropsSI("T","H",J9*1000,"P",J7*10^6,"Water")-273.15</f>
        <v>#NAME?</v>
      </c>
      <c r="K6" s="213" t="s">
        <v>309</v>
      </c>
      <c r="L6" s="240" t="s">
        <v>311</v>
      </c>
      <c r="M6" s="240" t="s">
        <v>307</v>
      </c>
      <c r="N6" s="240" t="e">
        <f ca="1">[1]!PropsSI("T","H",N8*1000,"P",N7*10^6,"Water")-273.15</f>
        <v>#NAME?</v>
      </c>
      <c r="O6" s="213" t="s">
        <v>309</v>
      </c>
      <c r="P6" s="240" t="s">
        <v>311</v>
      </c>
      <c r="Q6" s="240" t="s">
        <v>307</v>
      </c>
      <c r="R6" s="240" t="e">
        <f ca="1">[1]!PropsSI("T","H",R8*1000,"P",R7*10^6,"Water")-273.15</f>
        <v>#NAME?</v>
      </c>
      <c r="S6" s="213" t="s">
        <v>309</v>
      </c>
      <c r="T6" s="223" t="s">
        <v>311</v>
      </c>
      <c r="U6" s="214" t="s">
        <v>307</v>
      </c>
      <c r="V6" s="214" t="e">
        <f ca="1">[1]!PropsSI("T","P",V7*10^6,"Q",0,"Water")-273.15</f>
        <v>#NAME?</v>
      </c>
      <c r="W6" s="213" t="s">
        <v>309</v>
      </c>
    </row>
    <row r="7" spans="1:29" x14ac:dyDescent="0.25">
      <c r="A7" s="221"/>
      <c r="B7" s="221" t="s">
        <v>304</v>
      </c>
      <c r="C7" s="224">
        <f>C4</f>
        <v>0.1</v>
      </c>
      <c r="D7" s="240"/>
      <c r="E7" s="242" t="s">
        <v>304</v>
      </c>
      <c r="F7" s="241">
        <f>F13</f>
        <v>8.7460000000000004</v>
      </c>
      <c r="G7" s="213" t="s">
        <v>303</v>
      </c>
      <c r="H7" s="240"/>
      <c r="I7" s="240" t="s">
        <v>304</v>
      </c>
      <c r="J7" s="240">
        <f>J17</f>
        <v>0.54899999999999993</v>
      </c>
      <c r="K7" s="213" t="s">
        <v>303</v>
      </c>
      <c r="L7" s="240"/>
      <c r="M7" s="240" t="s">
        <v>304</v>
      </c>
      <c r="N7" s="240">
        <f>R4</f>
        <v>0.1525</v>
      </c>
      <c r="O7" s="213" t="s">
        <v>303</v>
      </c>
      <c r="P7" s="240"/>
      <c r="Q7" s="240" t="s">
        <v>304</v>
      </c>
      <c r="R7" s="240">
        <v>8.0000000000000002E-3</v>
      </c>
      <c r="S7" s="213" t="s">
        <v>303</v>
      </c>
      <c r="T7" s="223"/>
      <c r="U7" s="214" t="s">
        <v>304</v>
      </c>
      <c r="V7" s="214">
        <f>V4</f>
        <v>8.0000000000000002E-3</v>
      </c>
      <c r="W7" s="213" t="s">
        <v>303</v>
      </c>
    </row>
    <row r="8" spans="1:29" x14ac:dyDescent="0.25">
      <c r="A8" s="221"/>
      <c r="B8" s="220" t="s">
        <v>300</v>
      </c>
      <c r="C8" s="219" t="e">
        <f ca="1">C5-D9/(B9*$K$29)</f>
        <v>#NAME?</v>
      </c>
      <c r="D8" s="240"/>
      <c r="E8" s="239" t="s">
        <v>299</v>
      </c>
      <c r="F8" s="238" t="e">
        <f ca="1">F14</f>
        <v>#NAME?</v>
      </c>
      <c r="G8" s="213" t="s">
        <v>298</v>
      </c>
      <c r="H8" s="36" t="s">
        <v>358</v>
      </c>
      <c r="I8" s="240" t="s">
        <v>345</v>
      </c>
      <c r="J8" s="240" t="e">
        <f ca="1">[1]!PropsSI("H","S",J2*1000,"P",J7*10^6,"Water")/1000</f>
        <v>#NAME?</v>
      </c>
      <c r="K8" s="36" t="s">
        <v>298</v>
      </c>
      <c r="L8" s="36" t="s">
        <v>358</v>
      </c>
      <c r="M8" s="240" t="s">
        <v>345</v>
      </c>
      <c r="N8" s="240" t="e">
        <f ca="1">[1]!PropsSI("H","S",N2*1000,"P",N7*10^6,"Water")/1000</f>
        <v>#NAME?</v>
      </c>
      <c r="O8" s="36" t="s">
        <v>298</v>
      </c>
      <c r="P8" s="36" t="s">
        <v>358</v>
      </c>
      <c r="Q8" s="240" t="s">
        <v>345</v>
      </c>
      <c r="R8" s="240" t="e">
        <f ca="1">[1]!PropsSI("H","S",R2*1000,"P",R7*10^6,"Water")/1000</f>
        <v>#NAME?</v>
      </c>
      <c r="S8" s="36" t="s">
        <v>298</v>
      </c>
      <c r="T8" s="214"/>
      <c r="U8" s="214" t="s">
        <v>299</v>
      </c>
      <c r="V8" s="214" t="e">
        <f ca="1">[1]!PropsSI("H","P",V7*10^6,"Q",0,"Water")/1000</f>
        <v>#NAME?</v>
      </c>
      <c r="W8" s="213" t="s">
        <v>298</v>
      </c>
    </row>
    <row r="9" spans="1:29" x14ac:dyDescent="0.25">
      <c r="A9" s="236" t="s">
        <v>295</v>
      </c>
      <c r="B9" s="216">
        <f>R41</f>
        <v>503.8</v>
      </c>
      <c r="C9" s="235" t="s">
        <v>294</v>
      </c>
      <c r="D9" s="235" t="e">
        <f ca="1">F9*(F5-F8)</f>
        <v>#NAME?</v>
      </c>
      <c r="E9" s="240" t="s">
        <v>293</v>
      </c>
      <c r="F9" s="240" t="e">
        <f ca="1">B9*(C5-C17)*$K$29/(F5-F17)</f>
        <v>#NAME?</v>
      </c>
      <c r="G9" s="234"/>
      <c r="H9" s="240" t="e">
        <f ca="1">F9</f>
        <v>#NAME?</v>
      </c>
      <c r="I9" s="240" t="s">
        <v>299</v>
      </c>
      <c r="J9" s="240" t="e">
        <f ca="1">J5-H11*(J5-J8)</f>
        <v>#NAME?</v>
      </c>
      <c r="K9" s="36" t="s">
        <v>298</v>
      </c>
      <c r="L9" s="240" t="e">
        <f ca="1">J22</f>
        <v>#NAME?</v>
      </c>
      <c r="M9" s="240" t="s">
        <v>299</v>
      </c>
      <c r="N9" s="240" t="e">
        <f ca="1">N5-L11*(N5-N8)</f>
        <v>#NAME?</v>
      </c>
      <c r="O9" s="36" t="s">
        <v>298</v>
      </c>
      <c r="P9" s="240" t="e">
        <f ca="1">L9</f>
        <v>#NAME?</v>
      </c>
      <c r="Q9" s="240" t="s">
        <v>299</v>
      </c>
      <c r="R9" s="240" t="e">
        <f ca="1">R5-P11*(R5-R8)</f>
        <v>#NAME?</v>
      </c>
      <c r="S9" s="36" t="s">
        <v>298</v>
      </c>
      <c r="T9" s="252"/>
      <c r="U9" s="251" t="s">
        <v>357</v>
      </c>
      <c r="V9" s="251" t="e">
        <f ca="1">R11</f>
        <v>#NAME?</v>
      </c>
      <c r="W9" s="234"/>
    </row>
    <row r="10" spans="1:29" x14ac:dyDescent="0.25">
      <c r="A10" s="249" t="s">
        <v>370</v>
      </c>
      <c r="B10" s="232"/>
      <c r="C10" s="232"/>
      <c r="D10" s="232" t="e">
        <f ca="1">B9*$K$29*(C5-C8)</f>
        <v>#NAME?</v>
      </c>
      <c r="E10" s="232"/>
      <c r="F10" s="232"/>
      <c r="G10" s="248"/>
      <c r="H10" s="36" t="s">
        <v>369</v>
      </c>
      <c r="I10" s="36" t="s">
        <v>368</v>
      </c>
      <c r="J10" s="36" t="e">
        <f ca="1">(J5-J9)*H9/1000</f>
        <v>#NAME?</v>
      </c>
      <c r="K10" s="36" t="s">
        <v>90</v>
      </c>
      <c r="L10" s="36" t="s">
        <v>369</v>
      </c>
      <c r="M10" s="36" t="s">
        <v>368</v>
      </c>
      <c r="N10" s="36" t="e">
        <f ca="1">(N5-N9)*L9/1000</f>
        <v>#NAME?</v>
      </c>
      <c r="O10" s="36" t="s">
        <v>90</v>
      </c>
      <c r="P10" s="36" t="s">
        <v>369</v>
      </c>
      <c r="Q10" s="36" t="s">
        <v>368</v>
      </c>
      <c r="R10" s="36" t="e">
        <f ca="1">(R5-R9)*P9/1000</f>
        <v>#NAME?</v>
      </c>
      <c r="S10" s="36" t="s">
        <v>90</v>
      </c>
    </row>
    <row r="11" spans="1:29" x14ac:dyDescent="0.25">
      <c r="A11" s="231" t="s">
        <v>322</v>
      </c>
      <c r="D11" s="247" t="s">
        <v>339</v>
      </c>
      <c r="G11" s="213"/>
      <c r="H11" s="246">
        <v>0.85</v>
      </c>
      <c r="I11" s="240" t="s">
        <v>367</v>
      </c>
      <c r="J11" s="36" t="e">
        <f ca="1">[1]!PropsSI("Q","P",J7*10^6,"H",J9*1000,"Water")</f>
        <v>#NAME?</v>
      </c>
      <c r="L11" s="246">
        <v>0.75</v>
      </c>
      <c r="M11" s="240" t="s">
        <v>367</v>
      </c>
      <c r="N11" s="36" t="e">
        <f ca="1">[1]!PropsSI("Q","P",N7*10^6,"H",N9*1000,"Water")</f>
        <v>#NAME?</v>
      </c>
      <c r="P11" s="246">
        <v>0.77</v>
      </c>
      <c r="Q11" s="264" t="s">
        <v>357</v>
      </c>
      <c r="R11" s="264" t="e">
        <f ca="1">F9+F36-I13</f>
        <v>#NAME?</v>
      </c>
    </row>
    <row r="12" spans="1:29" x14ac:dyDescent="0.25">
      <c r="A12" s="221" t="s">
        <v>310</v>
      </c>
      <c r="B12" s="228" t="s">
        <v>307</v>
      </c>
      <c r="C12" s="227" t="e">
        <f ca="1">C6</f>
        <v>#NAME?</v>
      </c>
      <c r="D12" s="240" t="s">
        <v>311</v>
      </c>
      <c r="E12" s="245" t="s">
        <v>307</v>
      </c>
      <c r="F12" s="244" t="e">
        <f ca="1">[1]!PropsSI("T","P",F13*10^6,"Q",1,"Water")-273.15</f>
        <v>#NAME?</v>
      </c>
      <c r="G12" s="213" t="s">
        <v>309</v>
      </c>
      <c r="N12" s="36" t="e">
        <f ca="1">100-N11*100</f>
        <v>#NAME?</v>
      </c>
      <c r="Q12" s="240" t="s">
        <v>305</v>
      </c>
      <c r="R12" s="262" t="e">
        <f ca="1">[1]!PropsSI("Q","P",R7*10^6,"H",R9*1000,"Water")</f>
        <v>#NAME?</v>
      </c>
    </row>
    <row r="13" spans="1:29" x14ac:dyDescent="0.25">
      <c r="A13" s="221"/>
      <c r="B13" s="221" t="s">
        <v>304</v>
      </c>
      <c r="C13" s="224">
        <f>C7</f>
        <v>0.1</v>
      </c>
      <c r="D13" s="240"/>
      <c r="E13" s="242" t="s">
        <v>304</v>
      </c>
      <c r="F13" s="263">
        <f>L43</f>
        <v>8.7460000000000004</v>
      </c>
      <c r="G13" s="36" t="s">
        <v>303</v>
      </c>
      <c r="H13" s="253"/>
      <c r="I13" s="253"/>
      <c r="Q13" s="240" t="s">
        <v>366</v>
      </c>
      <c r="R13" s="262" t="e">
        <f ca="1">1-R12</f>
        <v>#NAME?</v>
      </c>
    </row>
    <row r="14" spans="1:29" x14ac:dyDescent="0.25">
      <c r="A14" s="221"/>
      <c r="B14" s="220" t="s">
        <v>300</v>
      </c>
      <c r="C14" s="219" t="e">
        <f ca="1">C8</f>
        <v>#NAME?</v>
      </c>
      <c r="D14" s="240"/>
      <c r="E14" s="239" t="s">
        <v>299</v>
      </c>
      <c r="F14" s="238" t="e">
        <f ca="1">[1]!PropsSI("H","P",F13*10^6,"Q",1,"Water")/1000</f>
        <v>#NAME?</v>
      </c>
      <c r="G14" s="36" t="s">
        <v>298</v>
      </c>
      <c r="I14" s="36" t="s">
        <v>365</v>
      </c>
      <c r="Q14" s="232" t="s">
        <v>364</v>
      </c>
      <c r="R14" s="232"/>
      <c r="S14" s="232" t="s">
        <v>363</v>
      </c>
      <c r="T14" s="214" t="e">
        <f ca="1">1/[1]!PropsSI("Dmass","P",S17*10^6,"Q",0,"Water")</f>
        <v>#NAME?</v>
      </c>
      <c r="V14" s="233" t="s">
        <v>362</v>
      </c>
      <c r="W14" s="232"/>
      <c r="X14" s="232"/>
      <c r="Y14" s="248"/>
    </row>
    <row r="15" spans="1:29" x14ac:dyDescent="0.25">
      <c r="A15" s="221" t="s">
        <v>311</v>
      </c>
      <c r="B15" s="228" t="s">
        <v>307</v>
      </c>
      <c r="C15" s="227" t="e">
        <f ca="1">F12+K53</f>
        <v>#NAME?</v>
      </c>
      <c r="D15" s="214" t="s">
        <v>310</v>
      </c>
      <c r="E15" s="226" t="s">
        <v>307</v>
      </c>
      <c r="F15" s="225" t="e">
        <f ca="1">F12-K52</f>
        <v>#NAME?</v>
      </c>
      <c r="G15" s="36" t="s">
        <v>309</v>
      </c>
      <c r="J15" s="36" t="s">
        <v>278</v>
      </c>
      <c r="K15" s="36" t="s">
        <v>277</v>
      </c>
      <c r="L15" s="261"/>
      <c r="M15" s="261"/>
      <c r="N15" s="261"/>
      <c r="O15" s="261"/>
      <c r="Q15" s="230" t="s">
        <v>321</v>
      </c>
      <c r="S15" s="232" t="s">
        <v>361</v>
      </c>
      <c r="T15" s="213"/>
      <c r="V15" s="257" t="s">
        <v>321</v>
      </c>
      <c r="Y15" s="213"/>
    </row>
    <row r="16" spans="1:29" x14ac:dyDescent="0.25">
      <c r="A16" s="221"/>
      <c r="B16" s="221" t="s">
        <v>304</v>
      </c>
      <c r="C16" s="224">
        <f>C13</f>
        <v>0.1</v>
      </c>
      <c r="D16" s="214"/>
      <c r="E16" s="223" t="s">
        <v>304</v>
      </c>
      <c r="F16" s="260">
        <f>F13</f>
        <v>8.7460000000000004</v>
      </c>
      <c r="G16" s="36" t="s">
        <v>303</v>
      </c>
      <c r="I16" s="36" t="s">
        <v>307</v>
      </c>
      <c r="J16" s="36" t="e">
        <f ca="1">J6</f>
        <v>#NAME?</v>
      </c>
      <c r="K16" s="36" t="e">
        <f ca="1">[1]!PropsSI("T","H",K18*1000,"P",K17*10^6,"Water")-273.15</f>
        <v>#NAME?</v>
      </c>
      <c r="Q16" s="214" t="s">
        <v>310</v>
      </c>
      <c r="R16" s="214" t="s">
        <v>307</v>
      </c>
      <c r="S16" s="214" t="e">
        <f ca="1">F39</f>
        <v>#NAME?</v>
      </c>
      <c r="T16" s="213" t="s">
        <v>309</v>
      </c>
      <c r="V16" s="223" t="s">
        <v>310</v>
      </c>
      <c r="W16" s="214" t="s">
        <v>307</v>
      </c>
      <c r="X16" s="214" t="e">
        <f ca="1">V6</f>
        <v>#NAME?</v>
      </c>
      <c r="Y16" s="213" t="s">
        <v>309</v>
      </c>
    </row>
    <row r="17" spans="1:27" x14ac:dyDescent="0.25">
      <c r="A17" s="221"/>
      <c r="B17" s="220" t="s">
        <v>300</v>
      </c>
      <c r="C17" s="219" t="e">
        <f ca="1">[1]!PropsSI("H","P",C16*10^6,"T",C15+273.15,"REFPROP::"&amp;[1]!MixtureString($Q$45:$Q$49,$S$45:$S$49))/1000</f>
        <v>#NAME?</v>
      </c>
      <c r="D17" s="214"/>
      <c r="E17" s="218" t="s">
        <v>299</v>
      </c>
      <c r="F17" s="217" t="e">
        <f ca="1">[1]!PropsSI("H","T",F15+273.15,"P",F16*10^6,"Water")/1000</f>
        <v>#NAME?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4"/>
      <c r="R17" s="214" t="s">
        <v>304</v>
      </c>
      <c r="S17" s="214">
        <f>F40</f>
        <v>0.69640000000000002</v>
      </c>
      <c r="T17" s="213" t="s">
        <v>303</v>
      </c>
      <c r="V17" s="223"/>
      <c r="W17" s="214" t="s">
        <v>304</v>
      </c>
      <c r="X17" s="214">
        <f>V7</f>
        <v>8.0000000000000002E-3</v>
      </c>
      <c r="Y17" s="213" t="s">
        <v>303</v>
      </c>
    </row>
    <row r="18" spans="1:27" x14ac:dyDescent="0.25">
      <c r="A18" s="236" t="s">
        <v>295</v>
      </c>
      <c r="B18" s="216">
        <f>B9</f>
        <v>503.8</v>
      </c>
      <c r="C18" s="235" t="s">
        <v>294</v>
      </c>
      <c r="D18" s="235" t="e">
        <f ca="1">F18*(F14-F17)</f>
        <v>#NAME?</v>
      </c>
      <c r="E18" s="214" t="s">
        <v>293</v>
      </c>
      <c r="F18" s="214" t="e">
        <f ca="1">F9</f>
        <v>#NAME?</v>
      </c>
      <c r="G18" s="259"/>
      <c r="I18" s="36" t="s">
        <v>299</v>
      </c>
      <c r="J18" s="36" t="e">
        <f ca="1">J9</f>
        <v>#NAME?</v>
      </c>
      <c r="K18" s="36" t="e">
        <f ca="1">F32</f>
        <v>#NAME?</v>
      </c>
      <c r="Q18" s="214"/>
      <c r="R18" s="214" t="s">
        <v>299</v>
      </c>
      <c r="S18" s="214" t="e">
        <f ca="1">[1]!PropsSI("H","P",S17*10^6,"Q",0,"Water")/1000</f>
        <v>#NAME?</v>
      </c>
      <c r="T18" s="213" t="s">
        <v>298</v>
      </c>
      <c r="V18" s="223"/>
      <c r="W18" s="214" t="s">
        <v>299</v>
      </c>
      <c r="X18" s="214" t="e">
        <f ca="1">V8</f>
        <v>#NAME?</v>
      </c>
      <c r="Y18" s="213" t="s">
        <v>298</v>
      </c>
    </row>
    <row r="19" spans="1:27" x14ac:dyDescent="0.25">
      <c r="A19" s="233" t="s">
        <v>360</v>
      </c>
      <c r="B19" s="232"/>
      <c r="C19" s="232"/>
      <c r="D19" s="232" t="e">
        <f ca="1">B18*$K$29*(C14-C17)</f>
        <v>#NAME?</v>
      </c>
      <c r="E19" s="232"/>
      <c r="F19" s="232"/>
      <c r="G19" s="232"/>
      <c r="I19" s="36" t="s">
        <v>358</v>
      </c>
      <c r="J19" s="36" t="e">
        <f ca="1">H9</f>
        <v>#NAME?</v>
      </c>
      <c r="K19" s="36" t="e">
        <f ca="1">F36</f>
        <v>#NAME?</v>
      </c>
      <c r="Q19" s="214"/>
      <c r="R19" s="214" t="s">
        <v>306</v>
      </c>
      <c r="S19" s="214" t="e">
        <f ca="1">[1]!PropsSI("S","P",S17*10^6,"Q",0,"Water")/1000</f>
        <v>#NAME?</v>
      </c>
      <c r="T19" s="213" t="s">
        <v>350</v>
      </c>
      <c r="W19" s="214" t="s">
        <v>306</v>
      </c>
      <c r="X19" s="214" t="e">
        <f ca="1">[1]!PropsSI("S","P",V7*10^6,"Q",0,"Water")/1000</f>
        <v>#NAME?</v>
      </c>
      <c r="Y19" s="213" t="s">
        <v>350</v>
      </c>
    </row>
    <row r="20" spans="1:27" x14ac:dyDescent="0.25">
      <c r="A20" s="231" t="s">
        <v>322</v>
      </c>
      <c r="D20" s="230" t="s">
        <v>321</v>
      </c>
      <c r="J20" s="36" t="s">
        <v>359</v>
      </c>
      <c r="K20" s="36" t="s">
        <v>359</v>
      </c>
      <c r="Q20" s="214" t="s">
        <v>311</v>
      </c>
      <c r="R20" s="214" t="s">
        <v>307</v>
      </c>
      <c r="S20" s="214" t="e">
        <f ca="1">[1]!PropsSI("T","P",S21*10^6,"H",S23*1000,"Water")-273.15</f>
        <v>#NAME?</v>
      </c>
      <c r="T20" s="213" t="s">
        <v>309</v>
      </c>
      <c r="V20" s="223" t="s">
        <v>311</v>
      </c>
      <c r="W20" s="214" t="s">
        <v>307</v>
      </c>
      <c r="X20" s="214" t="e">
        <f ca="1">[1]!PropsSI("T","P",X21*10^6,"H",X23*1000,"Water")-273.15</f>
        <v>#NAME?</v>
      </c>
      <c r="Y20" s="213" t="s">
        <v>309</v>
      </c>
    </row>
    <row r="21" spans="1:27" x14ac:dyDescent="0.25">
      <c r="A21" s="221" t="s">
        <v>310</v>
      </c>
      <c r="B21" s="228" t="s">
        <v>307</v>
      </c>
      <c r="C21" s="227" t="e">
        <f ca="1">C15</f>
        <v>#NAME?</v>
      </c>
      <c r="D21" s="214" t="s">
        <v>311</v>
      </c>
      <c r="E21" s="226" t="s">
        <v>307</v>
      </c>
      <c r="F21" s="222" t="e">
        <f ca="1">F15</f>
        <v>#NAME?</v>
      </c>
      <c r="G21" s="36" t="s">
        <v>309</v>
      </c>
      <c r="I21" s="36" t="s">
        <v>299</v>
      </c>
      <c r="J21" s="36" t="e">
        <f ca="1">(J19*J18+K19*K18)/J22</f>
        <v>#NAME?</v>
      </c>
      <c r="Q21" s="214"/>
      <c r="R21" s="214" t="s">
        <v>304</v>
      </c>
      <c r="S21" s="214">
        <f>F25</f>
        <v>8.7460000000000004</v>
      </c>
      <c r="T21" s="213" t="s">
        <v>303</v>
      </c>
      <c r="V21" s="223"/>
      <c r="W21" s="214" t="s">
        <v>304</v>
      </c>
      <c r="X21" s="214">
        <v>2</v>
      </c>
      <c r="Y21" s="213" t="s">
        <v>303</v>
      </c>
      <c r="Z21" s="36">
        <v>200</v>
      </c>
      <c r="AA21" s="36" t="s">
        <v>347</v>
      </c>
    </row>
    <row r="22" spans="1:27" x14ac:dyDescent="0.25">
      <c r="A22" s="221"/>
      <c r="B22" s="221" t="s">
        <v>304</v>
      </c>
      <c r="C22" s="224">
        <f>C16</f>
        <v>0.1</v>
      </c>
      <c r="D22" s="214"/>
      <c r="E22" s="223" t="s">
        <v>304</v>
      </c>
      <c r="F22" s="258">
        <f>F16</f>
        <v>8.7460000000000004</v>
      </c>
      <c r="G22" s="36" t="s">
        <v>303</v>
      </c>
      <c r="I22" s="36" t="s">
        <v>358</v>
      </c>
      <c r="J22" s="36" t="e">
        <f ca="1">J19+K19</f>
        <v>#NAME?</v>
      </c>
      <c r="Q22" s="214"/>
      <c r="R22" s="214" t="s">
        <v>345</v>
      </c>
      <c r="S22" s="214" t="e">
        <f ca="1">[1]!PropsSI("H","S",S19*1000,"P",S21*10^6,"Water")/1000</f>
        <v>#NAME?</v>
      </c>
      <c r="T22" s="213" t="s">
        <v>298</v>
      </c>
      <c r="V22" s="223"/>
      <c r="W22" s="214" t="s">
        <v>345</v>
      </c>
      <c r="X22" s="214" t="e">
        <f ca="1">[1]!PropsSI("H","S",X19*1000,"P",X21*10^6,"Water")/1000</f>
        <v>#NAME?</v>
      </c>
      <c r="Y22" s="213" t="s">
        <v>298</v>
      </c>
      <c r="Z22" s="36">
        <f>Z21*9806/1000000</f>
        <v>1.9612000000000001</v>
      </c>
    </row>
    <row r="23" spans="1:27" x14ac:dyDescent="0.25">
      <c r="A23" s="221"/>
      <c r="B23" s="220" t="s">
        <v>300</v>
      </c>
      <c r="C23" s="219" t="e">
        <f ca="1">C17</f>
        <v>#NAME?</v>
      </c>
      <c r="D23" s="214"/>
      <c r="E23" s="218" t="s">
        <v>299</v>
      </c>
      <c r="F23" s="222" t="e">
        <f ca="1">F17</f>
        <v>#NAME?</v>
      </c>
      <c r="G23" s="213" t="s">
        <v>298</v>
      </c>
      <c r="I23" s="36" t="s">
        <v>307</v>
      </c>
      <c r="J23" s="36" t="e">
        <f ca="1">[1]!PropsSI("T","H",J21*1000,"P",J24*10^6,"Water")-273.15</f>
        <v>#NAME?</v>
      </c>
      <c r="R23" s="214" t="s">
        <v>299</v>
      </c>
      <c r="S23" s="214" t="e">
        <f ca="1">S18+(S22-S18)/K33</f>
        <v>#NAME?</v>
      </c>
      <c r="T23" s="213" t="s">
        <v>298</v>
      </c>
      <c r="W23" s="214" t="s">
        <v>299</v>
      </c>
      <c r="X23" s="214" t="e">
        <f ca="1">X18+(X22-X18)/K35</f>
        <v>#NAME?</v>
      </c>
      <c r="Y23" s="213" t="s">
        <v>298</v>
      </c>
    </row>
    <row r="24" spans="1:27" x14ac:dyDescent="0.25">
      <c r="A24" s="221" t="s">
        <v>311</v>
      </c>
      <c r="B24" s="228" t="s">
        <v>307</v>
      </c>
      <c r="C24" s="227" t="e">
        <f ca="1">[1]!PropsSI("T","P",C22*10^6,"H",C26*1000,"REFPROP::"&amp;[1]!MixtureString($Q$45:$Q$49,$S$45:$S$49))-273.15</f>
        <v>#NAME?</v>
      </c>
      <c r="D24" s="214" t="s">
        <v>310</v>
      </c>
      <c r="E24" s="226" t="s">
        <v>307</v>
      </c>
      <c r="F24" s="225" t="e">
        <f ca="1">S20</f>
        <v>#NAME?</v>
      </c>
      <c r="G24" s="213" t="s">
        <v>309</v>
      </c>
      <c r="I24" s="36" t="s">
        <v>304</v>
      </c>
      <c r="J24" s="36">
        <f>N4</f>
        <v>0.54899999999999993</v>
      </c>
      <c r="Q24" s="252"/>
      <c r="R24" s="251" t="s">
        <v>293</v>
      </c>
      <c r="S24" s="251" t="e">
        <f ca="1">F27</f>
        <v>#NAME?</v>
      </c>
      <c r="T24" s="234"/>
      <c r="V24" s="252"/>
      <c r="W24" s="251" t="s">
        <v>357</v>
      </c>
      <c r="X24" s="251" t="e">
        <f ca="1">V9</f>
        <v>#NAME?</v>
      </c>
      <c r="Y24" s="234"/>
    </row>
    <row r="25" spans="1:27" x14ac:dyDescent="0.25">
      <c r="A25" s="221"/>
      <c r="B25" s="221" t="s">
        <v>304</v>
      </c>
      <c r="C25" s="224">
        <f>C22</f>
        <v>0.1</v>
      </c>
      <c r="D25" s="214"/>
      <c r="E25" s="223" t="s">
        <v>304</v>
      </c>
      <c r="F25" s="258">
        <f>F22</f>
        <v>8.7460000000000004</v>
      </c>
      <c r="G25" s="213" t="s">
        <v>303</v>
      </c>
      <c r="J25" s="253"/>
      <c r="K25" s="253"/>
      <c r="L25" s="253"/>
      <c r="M25" s="253"/>
      <c r="N25" s="253"/>
      <c r="O25" s="253"/>
      <c r="S25" s="36" t="e">
        <f ca="1">(S23-S18)*S24/1000/$K$38/$K$37</f>
        <v>#NAME?</v>
      </c>
      <c r="T25" s="36" t="s">
        <v>90</v>
      </c>
      <c r="X25" s="36" t="e">
        <f ca="1">(X23-X18)*X24/1000/$K$38/$K$37</f>
        <v>#NAME?</v>
      </c>
      <c r="Y25" s="36" t="s">
        <v>90</v>
      </c>
    </row>
    <row r="26" spans="1:27" x14ac:dyDescent="0.25">
      <c r="A26" s="221"/>
      <c r="B26" s="220" t="s">
        <v>300</v>
      </c>
      <c r="C26" s="219" t="e">
        <f ca="1">C23-D27/(B27*$K$29)</f>
        <v>#NAME?</v>
      </c>
      <c r="D26" s="214"/>
      <c r="E26" s="218" t="s">
        <v>299</v>
      </c>
      <c r="F26" s="217" t="e">
        <f ca="1">S23</f>
        <v>#NAME?</v>
      </c>
      <c r="G26" s="213" t="s">
        <v>298</v>
      </c>
      <c r="J26" s="253"/>
      <c r="Q26" s="233" t="s">
        <v>356</v>
      </c>
      <c r="R26" s="232"/>
      <c r="S26" s="232"/>
      <c r="T26" s="248"/>
    </row>
    <row r="27" spans="1:27" x14ac:dyDescent="0.25">
      <c r="A27" s="236" t="s">
        <v>295</v>
      </c>
      <c r="B27" s="216">
        <f>B18</f>
        <v>503.8</v>
      </c>
      <c r="C27" s="235" t="s">
        <v>294</v>
      </c>
      <c r="D27" s="235" t="e">
        <f ca="1">F27*(F23-F26)</f>
        <v>#NAME?</v>
      </c>
      <c r="E27" s="214" t="s">
        <v>293</v>
      </c>
      <c r="F27" s="214" t="e">
        <f ca="1">F18</f>
        <v>#NAME?</v>
      </c>
      <c r="G27" s="234"/>
      <c r="J27" s="253"/>
      <c r="Q27" s="257" t="s">
        <v>321</v>
      </c>
      <c r="T27" s="213"/>
    </row>
    <row r="28" spans="1:27" x14ac:dyDescent="0.25">
      <c r="A28" s="233" t="s">
        <v>355</v>
      </c>
      <c r="B28" s="232"/>
      <c r="C28" s="232"/>
      <c r="D28" s="232" t="e">
        <f ca="1">B27*$K$29*(C23-C26)</f>
        <v>#NAME?</v>
      </c>
      <c r="E28" s="232"/>
      <c r="F28" s="248"/>
      <c r="G28" s="252"/>
      <c r="I28" s="36" t="s">
        <v>354</v>
      </c>
      <c r="K28" s="36">
        <v>0.1525</v>
      </c>
      <c r="L28" s="36" t="s">
        <v>317</v>
      </c>
      <c r="Q28" s="223" t="s">
        <v>310</v>
      </c>
      <c r="R28" s="214" t="s">
        <v>307</v>
      </c>
      <c r="S28" s="254" t="e">
        <f ca="1">F48</f>
        <v>#NAME?</v>
      </c>
      <c r="T28" s="213" t="s">
        <v>309</v>
      </c>
    </row>
    <row r="29" spans="1:27" x14ac:dyDescent="0.25">
      <c r="A29" s="231" t="s">
        <v>322</v>
      </c>
      <c r="D29" s="256" t="s">
        <v>339</v>
      </c>
      <c r="G29" s="213"/>
      <c r="I29" s="36" t="s">
        <v>353</v>
      </c>
      <c r="K29" s="36">
        <v>0.995</v>
      </c>
      <c r="Q29" s="223"/>
      <c r="R29" s="214" t="s">
        <v>304</v>
      </c>
      <c r="S29" s="254">
        <f>F49</f>
        <v>0.69640000000000002</v>
      </c>
      <c r="T29" s="213" t="s">
        <v>303</v>
      </c>
    </row>
    <row r="30" spans="1:27" x14ac:dyDescent="0.25">
      <c r="A30" s="221" t="s">
        <v>310</v>
      </c>
      <c r="B30" s="228" t="s">
        <v>307</v>
      </c>
      <c r="C30" s="227" t="e">
        <f ca="1">C24</f>
        <v>#NAME?</v>
      </c>
      <c r="D30" s="240" t="s">
        <v>311</v>
      </c>
      <c r="E30" s="245" t="s">
        <v>307</v>
      </c>
      <c r="F30" s="244" t="e">
        <f ca="1">C30-K51</f>
        <v>#NAME?</v>
      </c>
      <c r="G30" s="213" t="s">
        <v>309</v>
      </c>
      <c r="I30" s="36" t="s">
        <v>352</v>
      </c>
      <c r="K30" s="255">
        <v>0.03</v>
      </c>
      <c r="Q30" s="223"/>
      <c r="R30" s="214" t="s">
        <v>299</v>
      </c>
      <c r="S30" s="254" t="e">
        <f ca="1">F50</f>
        <v>#NAME?</v>
      </c>
      <c r="T30" s="213" t="s">
        <v>298</v>
      </c>
    </row>
    <row r="31" spans="1:27" x14ac:dyDescent="0.25">
      <c r="A31" s="221"/>
      <c r="B31" s="221" t="s">
        <v>304</v>
      </c>
      <c r="C31" s="224">
        <f>C25</f>
        <v>0.1</v>
      </c>
      <c r="D31" s="240"/>
      <c r="E31" s="242" t="s">
        <v>304</v>
      </c>
      <c r="F31" s="241">
        <f>F34-L47</f>
        <v>0.69099999999999995</v>
      </c>
      <c r="G31" s="213" t="s">
        <v>303</v>
      </c>
      <c r="I31" s="36" t="s">
        <v>351</v>
      </c>
      <c r="K31" s="253">
        <v>0.05</v>
      </c>
      <c r="R31" s="214" t="s">
        <v>306</v>
      </c>
      <c r="S31" s="214" t="e">
        <f ca="1">[1]!PropsSI("S","P",S29*10^6,"Q",0,"Water")/1000</f>
        <v>#NAME?</v>
      </c>
      <c r="T31" s="213" t="s">
        <v>350</v>
      </c>
    </row>
    <row r="32" spans="1:27" x14ac:dyDescent="0.25">
      <c r="A32" s="221"/>
      <c r="B32" s="220" t="s">
        <v>300</v>
      </c>
      <c r="C32" s="219" t="e">
        <f ca="1">C26</f>
        <v>#NAME?</v>
      </c>
      <c r="D32" s="240"/>
      <c r="E32" s="239" t="s">
        <v>299</v>
      </c>
      <c r="F32" s="238" t="e">
        <f ca="1">[1]!PropsSI("H","T",F30+273.15,"P",F31*10^6,"Water")/1000</f>
        <v>#NAME?</v>
      </c>
      <c r="G32" s="36" t="s">
        <v>298</v>
      </c>
      <c r="I32" s="36" t="s">
        <v>349</v>
      </c>
      <c r="K32" s="36">
        <v>0.05</v>
      </c>
      <c r="Q32" s="223" t="s">
        <v>311</v>
      </c>
      <c r="R32" s="214" t="s">
        <v>307</v>
      </c>
      <c r="S32" s="214" t="e">
        <f ca="1">[1]!PropsSI("T","P",S33*10^6,"H",S35*1000,"Water")-273.15</f>
        <v>#NAME?</v>
      </c>
      <c r="T32" s="213" t="s">
        <v>309</v>
      </c>
    </row>
    <row r="33" spans="1:22" x14ac:dyDescent="0.25">
      <c r="A33" s="221" t="s">
        <v>311</v>
      </c>
      <c r="B33" s="228" t="s">
        <v>307</v>
      </c>
      <c r="C33" s="227" t="e">
        <f ca="1">[1]!PropsSI("T","P",C31*10^6,"H",C35*1000,"REFPROP::"&amp;[1]!MixtureString($Q$45:$Q$49,$S$45:$S$49))-273.15</f>
        <v>#NAME?</v>
      </c>
      <c r="D33" s="240" t="s">
        <v>310</v>
      </c>
      <c r="E33" s="245" t="s">
        <v>307</v>
      </c>
      <c r="F33" s="244" t="e">
        <f ca="1">F39</f>
        <v>#NAME?</v>
      </c>
      <c r="G33" s="36" t="s">
        <v>309</v>
      </c>
      <c r="I33" s="36" t="s">
        <v>348</v>
      </c>
      <c r="K33" s="36">
        <v>0.80740000000000001</v>
      </c>
      <c r="Q33" s="223"/>
      <c r="R33" s="214" t="s">
        <v>304</v>
      </c>
      <c r="S33" s="214">
        <f>S29+U34</f>
        <v>1.23573</v>
      </c>
      <c r="T33" s="213" t="s">
        <v>303</v>
      </c>
      <c r="U33" s="36">
        <v>55</v>
      </c>
      <c r="V33" s="36" t="s">
        <v>347</v>
      </c>
    </row>
    <row r="34" spans="1:22" x14ac:dyDescent="0.25">
      <c r="A34" s="221"/>
      <c r="B34" s="221" t="s">
        <v>304</v>
      </c>
      <c r="C34" s="224">
        <f>C31</f>
        <v>0.1</v>
      </c>
      <c r="D34" s="240"/>
      <c r="E34" s="242" t="s">
        <v>304</v>
      </c>
      <c r="F34" s="241">
        <f>F40</f>
        <v>0.69640000000000002</v>
      </c>
      <c r="G34" s="213" t="s">
        <v>303</v>
      </c>
      <c r="I34" s="36" t="s">
        <v>346</v>
      </c>
      <c r="K34" s="36">
        <v>0.80740000000000001</v>
      </c>
      <c r="Q34" s="223"/>
      <c r="R34" s="214" t="s">
        <v>345</v>
      </c>
      <c r="S34" s="214" t="e">
        <f ca="1">[1]!PropsSI("H","S",S31*1000,"P",S33*10^6,"Water")/1000</f>
        <v>#NAME?</v>
      </c>
      <c r="T34" s="213" t="s">
        <v>298</v>
      </c>
      <c r="U34" s="36">
        <f>U33*9806/1000000</f>
        <v>0.53932999999999998</v>
      </c>
    </row>
    <row r="35" spans="1:22" x14ac:dyDescent="0.25">
      <c r="A35" s="221"/>
      <c r="B35" s="220" t="s">
        <v>300</v>
      </c>
      <c r="C35" s="219" t="e">
        <f ca="1">C32-D36/(B36*$K$29)</f>
        <v>#NAME?</v>
      </c>
      <c r="D35" s="240"/>
      <c r="E35" s="239" t="s">
        <v>299</v>
      </c>
      <c r="F35" s="238" t="e">
        <f ca="1">F41</f>
        <v>#NAME?</v>
      </c>
      <c r="G35" s="213" t="s">
        <v>298</v>
      </c>
      <c r="I35" s="36" t="s">
        <v>344</v>
      </c>
      <c r="K35" s="36">
        <v>0.80740000000000001</v>
      </c>
      <c r="Q35" s="252"/>
      <c r="R35" s="214" t="s">
        <v>299</v>
      </c>
      <c r="S35" s="214" t="e">
        <f ca="1">S30+(S34-S30)/K36</f>
        <v>#NAME?</v>
      </c>
      <c r="T35" s="213" t="s">
        <v>298</v>
      </c>
    </row>
    <row r="36" spans="1:22" x14ac:dyDescent="0.25">
      <c r="A36" s="236" t="s">
        <v>295</v>
      </c>
      <c r="B36" s="216">
        <f>B27</f>
        <v>503.8</v>
      </c>
      <c r="C36" s="235" t="s">
        <v>294</v>
      </c>
      <c r="D36" s="235" t="e">
        <f ca="1">F36*(F32-F35)</f>
        <v>#NAME?</v>
      </c>
      <c r="E36" s="240" t="s">
        <v>293</v>
      </c>
      <c r="F36" s="240" t="e">
        <f ca="1">(B36*(C32-C44)*$K$29-F46*(G46-F44))/(F32-F44)</f>
        <v>#NAME?</v>
      </c>
      <c r="G36" s="234"/>
      <c r="I36" s="36" t="s">
        <v>343</v>
      </c>
      <c r="K36" s="36">
        <f>K35</f>
        <v>0.80740000000000001</v>
      </c>
      <c r="R36" s="251" t="s">
        <v>342</v>
      </c>
      <c r="S36" s="250" t="e">
        <f ca="1">$V$9*(F53-$X$23)/($S$35-X23)</f>
        <v>#NAME?</v>
      </c>
      <c r="T36" s="234"/>
    </row>
    <row r="37" spans="1:22" x14ac:dyDescent="0.25">
      <c r="A37" s="249" t="s">
        <v>341</v>
      </c>
      <c r="B37" s="232"/>
      <c r="C37" s="232"/>
      <c r="D37" s="232" t="e">
        <f ca="1">B36*$K$29*(C32-C35)</f>
        <v>#NAME?</v>
      </c>
      <c r="E37" s="232"/>
      <c r="F37" s="232"/>
      <c r="G37" s="248"/>
      <c r="I37" s="36" t="s">
        <v>340</v>
      </c>
      <c r="K37" s="246">
        <v>0.95</v>
      </c>
      <c r="M37" s="36">
        <v>0.61099999999999999</v>
      </c>
      <c r="S37" s="36" t="e">
        <f ca="1">(S35-S30)*S36/1000/$K$37/$K$38</f>
        <v>#NAME?</v>
      </c>
      <c r="T37" s="36" t="s">
        <v>90</v>
      </c>
    </row>
    <row r="38" spans="1:22" x14ac:dyDescent="0.25">
      <c r="A38" s="231" t="s">
        <v>322</v>
      </c>
      <c r="D38" s="247" t="s">
        <v>339</v>
      </c>
      <c r="G38" s="213"/>
      <c r="I38" s="36" t="s">
        <v>338</v>
      </c>
      <c r="K38" s="246">
        <v>0.99</v>
      </c>
    </row>
    <row r="39" spans="1:22" x14ac:dyDescent="0.25">
      <c r="A39" s="221" t="s">
        <v>310</v>
      </c>
      <c r="B39" s="228" t="s">
        <v>307</v>
      </c>
      <c r="C39" s="227" t="e">
        <f ca="1">C33</f>
        <v>#NAME?</v>
      </c>
      <c r="D39" s="240" t="s">
        <v>311</v>
      </c>
      <c r="E39" s="245" t="s">
        <v>307</v>
      </c>
      <c r="F39" s="244" t="e">
        <f ca="1">[1]!PropsSI("T","P",F40*10^6,"Q",1,"Water")-273.15</f>
        <v>#NAME?</v>
      </c>
      <c r="G39" s="213" t="s">
        <v>309</v>
      </c>
      <c r="I39" s="36" t="s">
        <v>337</v>
      </c>
      <c r="K39" s="243">
        <v>0.98499999999999999</v>
      </c>
    </row>
    <row r="40" spans="1:22" x14ac:dyDescent="0.25">
      <c r="A40" s="221"/>
      <c r="B40" s="221" t="s">
        <v>304</v>
      </c>
      <c r="C40" s="224">
        <f>C34</f>
        <v>0.1</v>
      </c>
      <c r="D40" s="240"/>
      <c r="E40" s="242" t="s">
        <v>304</v>
      </c>
      <c r="F40" s="241">
        <f>L48</f>
        <v>0.69640000000000002</v>
      </c>
      <c r="G40" s="213" t="s">
        <v>303</v>
      </c>
      <c r="N40" s="36">
        <f>L41/F4</f>
        <v>6.6849054359462382E-2</v>
      </c>
    </row>
    <row r="41" spans="1:22" x14ac:dyDescent="0.25">
      <c r="A41" s="221"/>
      <c r="B41" s="220" t="s">
        <v>300</v>
      </c>
      <c r="C41" s="219" t="e">
        <f ca="1">C35</f>
        <v>#NAME?</v>
      </c>
      <c r="D41" s="240"/>
      <c r="E41" s="239" t="s">
        <v>299</v>
      </c>
      <c r="F41" s="238" t="e">
        <f ca="1">[1]!PropsSI("H","P",F40*10^6,"Q",1,"Water")/1000</f>
        <v>#NAME?</v>
      </c>
      <c r="G41" s="213" t="s">
        <v>298</v>
      </c>
      <c r="I41" s="36" t="s">
        <v>336</v>
      </c>
      <c r="L41" s="237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25">
      <c r="A42" s="221" t="s">
        <v>311</v>
      </c>
      <c r="B42" s="228" t="s">
        <v>307</v>
      </c>
      <c r="C42" s="227" t="e">
        <f ca="1">F39+K54</f>
        <v>#NAME?</v>
      </c>
      <c r="D42" s="214" t="s">
        <v>310</v>
      </c>
      <c r="E42" s="226" t="s">
        <v>307</v>
      </c>
      <c r="F42" s="225" t="e">
        <f ca="1">F39-K55</f>
        <v>#NAME?</v>
      </c>
      <c r="G42" s="213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25">
      <c r="A43" s="221"/>
      <c r="B43" s="221" t="s">
        <v>304</v>
      </c>
      <c r="C43" s="224">
        <f>C40</f>
        <v>0.1</v>
      </c>
      <c r="D43" s="214"/>
      <c r="E43" s="223" t="s">
        <v>304</v>
      </c>
      <c r="F43" s="222">
        <f>F40</f>
        <v>0.69640000000000002</v>
      </c>
      <c r="G43" s="213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 t="e">
        <f ca="1">[1]!PropsSI("H","P",R43*10^6,"T",R42,"REFPROP::"&amp;[1]!MixtureString($Q$45:$Q$49,$S$45:$S$49))/1000</f>
        <v>#NAME?</v>
      </c>
    </row>
    <row r="44" spans="1:22" x14ac:dyDescent="0.25">
      <c r="A44" s="221"/>
      <c r="B44" s="220" t="s">
        <v>300</v>
      </c>
      <c r="C44" s="219" t="e">
        <f ca="1">[1]!PropsSI("H","P",C43*10^6,"T",C42+273.15,"REFPROP::"&amp;[1]!MixtureString($Q$45:$Q$49,$S$45:$S$49))/1000</f>
        <v>#NAME?</v>
      </c>
      <c r="D44" s="214"/>
      <c r="E44" s="218" t="s">
        <v>299</v>
      </c>
      <c r="F44" s="217" t="e">
        <f ca="1">[1]!PropsSI("H","T",F42+273.15,"P",F43*10^6,"Water")/1000</f>
        <v>#NAME?</v>
      </c>
      <c r="G44" s="213" t="s">
        <v>298</v>
      </c>
      <c r="Q44" s="36" t="s">
        <v>330</v>
      </c>
    </row>
    <row r="45" spans="1:22" x14ac:dyDescent="0.25">
      <c r="A45" s="236" t="s">
        <v>295</v>
      </c>
      <c r="B45" s="216">
        <f>B36</f>
        <v>503.8</v>
      </c>
      <c r="C45" s="235" t="s">
        <v>294</v>
      </c>
      <c r="D45" s="235" t="e">
        <f ca="1">F45*(F41-F44)+F46*(G46-F44)</f>
        <v>#NAME?</v>
      </c>
      <c r="E45" s="214" t="s">
        <v>329</v>
      </c>
      <c r="F45" s="214" t="e">
        <f ca="1">F36</f>
        <v>#NAME?</v>
      </c>
      <c r="G45" s="234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25">
      <c r="A46" s="233" t="s">
        <v>267</v>
      </c>
      <c r="B46" s="232"/>
      <c r="C46" s="232"/>
      <c r="D46" s="232"/>
      <c r="E46" s="232" t="s">
        <v>325</v>
      </c>
      <c r="F46" s="232" t="e">
        <f ca="1">F27</f>
        <v>#NAME?</v>
      </c>
      <c r="G46" s="36" t="e">
        <f ca="1">[1]!PropsSI("H","P",F40*10^6,"Q",0,"Water")/1000</f>
        <v>#NAME?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25">
      <c r="A47" s="231" t="s">
        <v>322</v>
      </c>
      <c r="D47" s="230" t="s">
        <v>321</v>
      </c>
      <c r="G47" s="213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25">
      <c r="A48" s="221" t="s">
        <v>310</v>
      </c>
      <c r="B48" s="228" t="s">
        <v>307</v>
      </c>
      <c r="C48" s="227" t="e">
        <f ca="1">C42</f>
        <v>#NAME?</v>
      </c>
      <c r="D48" s="214" t="s">
        <v>311</v>
      </c>
      <c r="E48" s="226" t="s">
        <v>307</v>
      </c>
      <c r="F48" s="222" t="e">
        <f ca="1">F42</f>
        <v>#NAME?</v>
      </c>
      <c r="G48" s="213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25">
      <c r="A49" s="221"/>
      <c r="B49" s="221" t="s">
        <v>304</v>
      </c>
      <c r="C49" s="224">
        <f>C43</f>
        <v>0.1</v>
      </c>
      <c r="D49" s="214"/>
      <c r="E49" s="223" t="s">
        <v>304</v>
      </c>
      <c r="F49" s="222">
        <f>F43</f>
        <v>0.69640000000000002</v>
      </c>
      <c r="G49" s="213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25">
      <c r="A50" s="221"/>
      <c r="B50" s="220" t="s">
        <v>300</v>
      </c>
      <c r="C50" s="219" t="e">
        <f ca="1">C44</f>
        <v>#NAME?</v>
      </c>
      <c r="D50" s="214"/>
      <c r="E50" s="218" t="s">
        <v>299</v>
      </c>
      <c r="F50" s="222" t="e">
        <f ca="1">F44</f>
        <v>#NAME?</v>
      </c>
      <c r="G50" s="213" t="s">
        <v>298</v>
      </c>
      <c r="I50" s="36" t="s">
        <v>314</v>
      </c>
      <c r="K50" s="36">
        <v>30.600000000000023</v>
      </c>
      <c r="L50" s="36" t="s">
        <v>289</v>
      </c>
      <c r="T50" s="229"/>
      <c r="AQ50" s="36" t="s">
        <v>313</v>
      </c>
      <c r="AW50" s="36" t="s">
        <v>312</v>
      </c>
    </row>
    <row r="51" spans="1:52" x14ac:dyDescent="0.25">
      <c r="A51" s="221" t="s">
        <v>311</v>
      </c>
      <c r="B51" s="228" t="s">
        <v>307</v>
      </c>
      <c r="C51" s="227" t="e">
        <f ca="1">[1]!PropsSI("T","P",C49*10^6,"H",C53*1000,"REFPROP::"&amp;[1]!MixtureString($Q$45:$Q$49,$S$45:$S$49))-273.15</f>
        <v>#NAME?</v>
      </c>
      <c r="D51" s="214" t="s">
        <v>310</v>
      </c>
      <c r="E51" s="226" t="s">
        <v>307</v>
      </c>
      <c r="F51" s="225">
        <f>60</f>
        <v>60</v>
      </c>
      <c r="G51" s="213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25">
      <c r="A52" s="221"/>
      <c r="B52" s="221" t="s">
        <v>304</v>
      </c>
      <c r="C52" s="224">
        <f>C49</f>
        <v>0.1</v>
      </c>
      <c r="D52" s="214"/>
      <c r="E52" s="223" t="s">
        <v>304</v>
      </c>
      <c r="F52" s="222">
        <f>F49</f>
        <v>0.69640000000000002</v>
      </c>
      <c r="G52" s="213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 t="e">
        <f ca="1">J3</f>
        <v>#NAME?</v>
      </c>
      <c r="AR52" s="36" t="e">
        <f ca="1">J2</f>
        <v>#NAME?</v>
      </c>
      <c r="AW52" s="36">
        <f>AK60</f>
        <v>508.6</v>
      </c>
      <c r="AX52" s="36" t="e">
        <f ca="1">[1]!PropsSI("S","T",AW52+273.15,"P",AY52*10^6,"Water")/1000</f>
        <v>#NAME?</v>
      </c>
      <c r="AY52" s="36">
        <f>AK59</f>
        <v>7.8449999999999998</v>
      </c>
    </row>
    <row r="53" spans="1:52" x14ac:dyDescent="0.25">
      <c r="A53" s="221"/>
      <c r="B53" s="220" t="s">
        <v>300</v>
      </c>
      <c r="C53" s="219" t="e">
        <f ca="1">C50-D54/(B54*$K$29)</f>
        <v>#NAME?</v>
      </c>
      <c r="D53" s="214"/>
      <c r="E53" s="218" t="s">
        <v>299</v>
      </c>
      <c r="F53" s="217" t="e">
        <f ca="1">[1]!PropsSI("H","T",F51+273.15,"P",F52*10^6,"Water")/1000</f>
        <v>#NAME?</v>
      </c>
      <c r="G53" s="213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 t="e">
        <f ca="1">K16</f>
        <v>#NAME?</v>
      </c>
      <c r="AS53" s="36">
        <f>K17</f>
        <v>0.61099999999999999</v>
      </c>
    </row>
    <row r="54" spans="1:52" x14ac:dyDescent="0.25">
      <c r="A54" s="216" t="s">
        <v>295</v>
      </c>
      <c r="B54" s="216">
        <f>B45</f>
        <v>503.8</v>
      </c>
      <c r="C54" s="215" t="s">
        <v>294</v>
      </c>
      <c r="D54" s="215" t="e">
        <f ca="1">F54*(F50-F53)</f>
        <v>#NAME?</v>
      </c>
      <c r="E54" s="214" t="s">
        <v>293</v>
      </c>
      <c r="F54" s="214" t="e">
        <f ca="1">F45+F27+S36</f>
        <v>#NAME?</v>
      </c>
      <c r="G54" s="213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2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25">
      <c r="AG56" s="36" t="s">
        <v>29</v>
      </c>
      <c r="AP56" s="36" t="s">
        <v>287</v>
      </c>
    </row>
    <row r="57" spans="1:52" x14ac:dyDescent="0.25">
      <c r="A57" s="36" t="s">
        <v>285</v>
      </c>
      <c r="C57" s="36" t="e">
        <f ca="1">(J10+N10+R10)*K38*K39</f>
        <v>#NAME?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25">
      <c r="A58" s="36" t="s">
        <v>286</v>
      </c>
      <c r="C58" s="36" t="e">
        <f ca="1">S25+X25+S37</f>
        <v>#NAME?</v>
      </c>
      <c r="D58" s="36" t="s">
        <v>90</v>
      </c>
      <c r="AG58" s="36" t="s">
        <v>25</v>
      </c>
      <c r="AK58" s="36">
        <v>63.4</v>
      </c>
    </row>
    <row r="59" spans="1:52" x14ac:dyDescent="0.25">
      <c r="A59" s="36" t="s">
        <v>285</v>
      </c>
      <c r="C59" s="36" t="e">
        <f ca="1">C57-C58</f>
        <v>#NAME?</v>
      </c>
      <c r="D59" s="36" t="s">
        <v>90</v>
      </c>
      <c r="AG59" s="36" t="s">
        <v>26</v>
      </c>
      <c r="AK59" s="36">
        <v>7.8449999999999998</v>
      </c>
    </row>
    <row r="60" spans="1:52" x14ac:dyDescent="0.2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25">
      <c r="AF61" s="36">
        <v>11</v>
      </c>
      <c r="AG61" s="36" t="s">
        <v>33</v>
      </c>
    </row>
    <row r="62" spans="1:52" x14ac:dyDescent="0.25">
      <c r="AG62" s="36" t="s">
        <v>25</v>
      </c>
      <c r="AK62" s="36">
        <v>14.76</v>
      </c>
    </row>
    <row r="63" spans="1:52" x14ac:dyDescent="0.25">
      <c r="A63" s="36" t="s">
        <v>283</v>
      </c>
      <c r="AG63" s="36" t="s">
        <v>26</v>
      </c>
      <c r="AK63" s="36">
        <v>0.61099999999999999</v>
      </c>
    </row>
    <row r="64" spans="1:52" x14ac:dyDescent="0.25">
      <c r="A64" s="36" t="s">
        <v>282</v>
      </c>
      <c r="AG64" s="36" t="s">
        <v>27</v>
      </c>
      <c r="AK64" s="36">
        <v>209.8</v>
      </c>
    </row>
    <row r="65" spans="1:38" x14ac:dyDescent="0.25">
      <c r="AF65" s="36">
        <v>12</v>
      </c>
      <c r="AG65" s="36" t="s">
        <v>34</v>
      </c>
    </row>
    <row r="66" spans="1:38" x14ac:dyDescent="0.25">
      <c r="A66" s="211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25">
      <c r="A67" s="211" t="s">
        <v>266</v>
      </c>
      <c r="B67" s="1">
        <f>C3</f>
        <v>542.1</v>
      </c>
      <c r="C67" s="36" t="e">
        <f ca="1">C6</f>
        <v>#NAME?</v>
      </c>
      <c r="D67" s="36" t="e">
        <f ca="1">C15</f>
        <v>#NAME?</v>
      </c>
      <c r="E67" s="36" t="e">
        <f ca="1">C24</f>
        <v>#NAME?</v>
      </c>
      <c r="F67" s="36" t="e">
        <f ca="1">C33</f>
        <v>#NAME?</v>
      </c>
      <c r="G67" s="36" t="e">
        <f ca="1">C42</f>
        <v>#NAME?</v>
      </c>
      <c r="H67" s="36" t="e">
        <f ca="1">C51</f>
        <v>#NAME?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25">
      <c r="A68" s="212" t="s">
        <v>280</v>
      </c>
      <c r="B68" s="36">
        <v>0</v>
      </c>
      <c r="C68" s="36" t="e">
        <f ca="1">B68+D9/1000</f>
        <v>#NAME?</v>
      </c>
      <c r="D68" s="36" t="e">
        <f ca="1">C68+D18/1000</f>
        <v>#NAME?</v>
      </c>
      <c r="E68" s="211" t="e">
        <f ca="1">D68+D27/1000</f>
        <v>#NAME?</v>
      </c>
      <c r="F68" s="36" t="e">
        <f ca="1">E68+D36/1000</f>
        <v>#NAME?</v>
      </c>
      <c r="G68" s="36" t="e">
        <f ca="1">F68+D45/1000</f>
        <v>#NAME?</v>
      </c>
      <c r="H68" s="36" t="e">
        <f ca="1">G68+D54/1000</f>
        <v>#NAME?</v>
      </c>
      <c r="AG68" s="36" t="s">
        <v>35</v>
      </c>
      <c r="AK68" s="36">
        <v>197.8</v>
      </c>
    </row>
    <row r="69" spans="1:38" x14ac:dyDescent="0.25">
      <c r="C69" s="210"/>
      <c r="AF69" s="36">
        <v>13</v>
      </c>
      <c r="AG69" s="36" t="s">
        <v>36</v>
      </c>
    </row>
    <row r="70" spans="1:38" x14ac:dyDescent="0.25">
      <c r="A70" s="36" t="s">
        <v>279</v>
      </c>
      <c r="AG70" s="36" t="s">
        <v>31</v>
      </c>
      <c r="AK70" s="36">
        <v>0</v>
      </c>
    </row>
    <row r="71" spans="1:38" x14ac:dyDescent="0.2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25">
      <c r="A72" s="36" t="str">
        <f t="shared" ref="A72:G72" si="0">A68</f>
        <v>Q</v>
      </c>
      <c r="B72" s="36">
        <f t="shared" si="0"/>
        <v>0</v>
      </c>
      <c r="C72" s="36" t="e">
        <f t="shared" ca="1" si="0"/>
        <v>#NAME?</v>
      </c>
      <c r="D72" s="36" t="e">
        <f t="shared" ca="1" si="0"/>
        <v>#NAME?</v>
      </c>
      <c r="E72" s="36" t="e">
        <f t="shared" ca="1" si="0"/>
        <v>#NAME?</v>
      </c>
      <c r="F72" s="36" t="e">
        <f t="shared" ca="1" si="0"/>
        <v>#NAME?</v>
      </c>
      <c r="G72" s="36" t="e">
        <f t="shared" ca="1" si="0"/>
        <v>#NAME?</v>
      </c>
      <c r="H72" s="36" t="e">
        <f ca="1">G72+(H68-G68)/(H67-G67)*(H71-G71)</f>
        <v>#NAME?</v>
      </c>
      <c r="AG72" s="36" t="s">
        <v>27</v>
      </c>
      <c r="AK72" s="36">
        <v>131.4</v>
      </c>
    </row>
    <row r="73" spans="1:38" x14ac:dyDescent="0.2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2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25">
      <c r="A75" s="36" t="s">
        <v>266</v>
      </c>
      <c r="B75" s="36">
        <f>F3</f>
        <v>511.5</v>
      </c>
      <c r="C75" s="36" t="e">
        <f ca="1">F6</f>
        <v>#NAME?</v>
      </c>
      <c r="D75" s="36" t="e">
        <f ca="1">F12</f>
        <v>#NAME?</v>
      </c>
      <c r="E75" s="36" t="e">
        <f ca="1">F15</f>
        <v>#NAME?</v>
      </c>
      <c r="F75" s="36" t="e">
        <f ca="1">F21</f>
        <v>#NAME?</v>
      </c>
      <c r="G75" s="36" t="e">
        <f ca="1">F24</f>
        <v>#NAME?</v>
      </c>
      <c r="H75" s="36" t="e">
        <f ca="1">F30</f>
        <v>#NAME?</v>
      </c>
      <c r="I75" s="36" t="e">
        <f ca="1">F33</f>
        <v>#NAME?</v>
      </c>
      <c r="J75" s="36" t="e">
        <f ca="1">F39</f>
        <v>#NAME?</v>
      </c>
      <c r="K75" s="36" t="e">
        <f ca="1">F42</f>
        <v>#NAME?</v>
      </c>
      <c r="L75" s="36" t="e">
        <f ca="1">F48</f>
        <v>#NAME?</v>
      </c>
      <c r="M75" s="36">
        <f>F51</f>
        <v>60</v>
      </c>
      <c r="AG75" s="36" t="s">
        <v>26</v>
      </c>
      <c r="AK75" s="36">
        <v>0.1525</v>
      </c>
    </row>
    <row r="76" spans="1:38" x14ac:dyDescent="0.25">
      <c r="A76" s="36" t="str">
        <f>A72</f>
        <v>Q</v>
      </c>
      <c r="B76" s="36">
        <f>B72</f>
        <v>0</v>
      </c>
      <c r="C76" s="36" t="e">
        <f ca="1">C72</f>
        <v>#NAME?</v>
      </c>
      <c r="D76" s="36" t="e">
        <f ca="1">C76</f>
        <v>#NAME?</v>
      </c>
      <c r="E76" s="36" t="e">
        <f ca="1">D72</f>
        <v>#NAME?</v>
      </c>
      <c r="F76" s="36" t="e">
        <f ca="1">E76</f>
        <v>#NAME?</v>
      </c>
      <c r="G76" s="36" t="e">
        <f ca="1">E72</f>
        <v>#NAME?</v>
      </c>
      <c r="H76" s="36" t="e">
        <f ca="1">G76</f>
        <v>#NAME?</v>
      </c>
      <c r="I76" s="36" t="e">
        <f ca="1">F72</f>
        <v>#NAME?</v>
      </c>
      <c r="J76" s="36" t="e">
        <f ca="1">I76</f>
        <v>#NAME?</v>
      </c>
      <c r="K76" s="36" t="e">
        <f ca="1">G72</f>
        <v>#NAME?</v>
      </c>
      <c r="L76" s="36" t="e">
        <f ca="1">K76</f>
        <v>#NAME?</v>
      </c>
      <c r="M76" s="36" t="e">
        <f ca="1">H68</f>
        <v>#NAME?</v>
      </c>
      <c r="AG76" s="36" t="s">
        <v>27</v>
      </c>
      <c r="AK76" s="36">
        <v>111.8</v>
      </c>
    </row>
    <row r="77" spans="1:38" x14ac:dyDescent="0.25">
      <c r="AF77" s="36">
        <v>15</v>
      </c>
      <c r="AG77" s="36" t="s">
        <v>38</v>
      </c>
    </row>
    <row r="78" spans="1:38" x14ac:dyDescent="0.25">
      <c r="A78" s="36" t="s">
        <v>276</v>
      </c>
      <c r="AG78" s="36" t="s">
        <v>31</v>
      </c>
      <c r="AK78" s="36">
        <v>78.16</v>
      </c>
    </row>
    <row r="79" spans="1:38" x14ac:dyDescent="0.2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2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25">
      <c r="A81" s="36" t="s">
        <v>266</v>
      </c>
      <c r="B81" s="36">
        <v>511.5</v>
      </c>
      <c r="C81" s="36" t="e">
        <f ca="1">D81</f>
        <v>#NAME?</v>
      </c>
      <c r="D81" s="36" t="e">
        <f ca="1">D75</f>
        <v>#NAME?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 t="e">
        <f ca="1">J81</f>
        <v>#NAME?</v>
      </c>
      <c r="J81" s="36" t="e">
        <f ca="1">J75</f>
        <v>#NAME?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25">
      <c r="A82" s="36" t="str">
        <f>A78</f>
        <v>Пар из отчета</v>
      </c>
      <c r="B82" s="36">
        <f>B78</f>
        <v>0</v>
      </c>
      <c r="C82" s="36" t="e">
        <f ca="1">C76</f>
        <v>#NAME?</v>
      </c>
      <c r="D82" s="36" t="e">
        <f ca="1">C82</f>
        <v>#NAME?</v>
      </c>
      <c r="E82" s="36" t="e">
        <f ca="1">E76</f>
        <v>#NAME?</v>
      </c>
      <c r="F82" s="36" t="e">
        <f ca="1">E82</f>
        <v>#NAME?</v>
      </c>
      <c r="G82" s="36" t="e">
        <f ca="1">G76</f>
        <v>#NAME?</v>
      </c>
      <c r="H82" s="36" t="e">
        <f ca="1">G82</f>
        <v>#NAME?</v>
      </c>
      <c r="I82" s="36" t="e">
        <f ca="1">I76</f>
        <v>#NAME?</v>
      </c>
      <c r="J82" s="36" t="e">
        <f ca="1">I82</f>
        <v>#NAME?</v>
      </c>
      <c r="K82" s="36" t="e">
        <f ca="1">K76</f>
        <v>#NAME?</v>
      </c>
      <c r="L82" s="36" t="e">
        <f ca="1">K82</f>
        <v>#NAME?</v>
      </c>
      <c r="M82" s="36" t="e">
        <f ca="1">H72</f>
        <v>#NAME?</v>
      </c>
      <c r="AG82" s="36" t="s">
        <v>31</v>
      </c>
      <c r="AK82" s="36">
        <v>78.16</v>
      </c>
    </row>
    <row r="83" spans="1:37" x14ac:dyDescent="0.25">
      <c r="AG83" s="36" t="s">
        <v>26</v>
      </c>
      <c r="AK83" s="36">
        <v>8.0000000000000002E-3</v>
      </c>
    </row>
    <row r="84" spans="1:37" x14ac:dyDescent="0.25">
      <c r="AG84" s="36" t="s">
        <v>39</v>
      </c>
      <c r="AK84" s="36" t="s">
        <v>190</v>
      </c>
    </row>
    <row r="85" spans="1:37" x14ac:dyDescent="0.2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zoomScale="70" zoomScaleNormal="70" workbookViewId="0">
      <selection activeCell="I11" sqref="I11"/>
    </sheetView>
  </sheetViews>
  <sheetFormatPr defaultColWidth="8.7109375" defaultRowHeight="15" x14ac:dyDescent="0.25"/>
  <cols>
    <col min="1" max="1" width="8.7109375" style="42"/>
    <col min="2" max="2" width="50" style="42" customWidth="1"/>
    <col min="3" max="9" width="8.7109375" style="42"/>
    <col min="10" max="10" width="8.7109375" style="43"/>
    <col min="11" max="16384" width="8.7109375" style="42"/>
  </cols>
  <sheetData>
    <row r="1" spans="1:13" ht="15.75" thickBot="1" x14ac:dyDescent="0.3"/>
    <row r="2" spans="1:13" ht="16.5" thickTop="1" thickBot="1" x14ac:dyDescent="0.3">
      <c r="A2" s="392" t="s">
        <v>0</v>
      </c>
      <c r="B2" s="390" t="s">
        <v>1</v>
      </c>
      <c r="C2" s="395" t="s">
        <v>2</v>
      </c>
      <c r="D2" s="396"/>
      <c r="E2" s="396"/>
      <c r="F2" s="396"/>
      <c r="G2" s="396"/>
      <c r="H2" s="396"/>
      <c r="I2" s="396"/>
      <c r="J2" s="396"/>
      <c r="K2" s="396"/>
      <c r="L2" s="396"/>
      <c r="M2" s="397"/>
    </row>
    <row r="3" spans="1:13" ht="16.5" thickTop="1" thickBot="1" x14ac:dyDescent="0.3">
      <c r="A3" s="393"/>
      <c r="B3" s="376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22.5" thickTop="1" thickBot="1" x14ac:dyDescent="0.3">
      <c r="A4" s="394"/>
      <c r="B4" s="44" t="s">
        <v>3</v>
      </c>
      <c r="C4" s="398" t="s">
        <v>4</v>
      </c>
      <c r="D4" s="399"/>
      <c r="E4" s="399"/>
      <c r="F4" s="399"/>
      <c r="G4" s="399"/>
      <c r="H4" s="399"/>
      <c r="I4" s="400"/>
      <c r="J4" s="48" t="s">
        <v>5</v>
      </c>
      <c r="K4" s="49" t="s">
        <v>6</v>
      </c>
      <c r="L4" s="401" t="s">
        <v>7</v>
      </c>
      <c r="M4" s="402"/>
    </row>
    <row r="5" spans="1:13" ht="15.6" customHeight="1" thickTop="1" thickBot="1" x14ac:dyDescent="0.3">
      <c r="A5" s="387" t="s">
        <v>8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9"/>
    </row>
    <row r="6" spans="1:13" ht="16.5" thickTop="1" thickBot="1" x14ac:dyDescent="0.3">
      <c r="A6" s="50">
        <v>1</v>
      </c>
      <c r="B6" s="51" t="s">
        <v>9</v>
      </c>
      <c r="C6" s="382">
        <v>100</v>
      </c>
      <c r="D6" s="383"/>
      <c r="E6" s="383"/>
      <c r="F6" s="383"/>
      <c r="G6" s="383"/>
      <c r="H6" s="383"/>
      <c r="I6" s="383"/>
      <c r="J6" s="383"/>
      <c r="K6" s="383"/>
      <c r="L6" s="383"/>
      <c r="M6" s="384"/>
    </row>
    <row r="7" spans="1:13" ht="15.75" thickBot="1" x14ac:dyDescent="0.3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.75" thickBot="1" x14ac:dyDescent="0.3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75" x14ac:dyDescent="0.25">
      <c r="A9" s="385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.75" thickBot="1" x14ac:dyDescent="0.3">
      <c r="A10" s="386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.75" thickBot="1" x14ac:dyDescent="0.3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.75" thickBot="1" x14ac:dyDescent="0.3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6" customHeight="1" thickTop="1" thickBot="1" x14ac:dyDescent="0.3">
      <c r="A13" s="387" t="s">
        <v>16</v>
      </c>
      <c r="B13" s="388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9"/>
    </row>
    <row r="14" spans="1:13" ht="16.5" thickTop="1" thickBot="1" x14ac:dyDescent="0.3">
      <c r="A14" s="390">
        <v>7</v>
      </c>
      <c r="B14" s="51" t="s">
        <v>17</v>
      </c>
      <c r="C14" s="379"/>
      <c r="D14" s="380"/>
      <c r="E14" s="380"/>
      <c r="F14" s="380"/>
      <c r="G14" s="380"/>
      <c r="H14" s="380"/>
      <c r="I14" s="380"/>
      <c r="J14" s="380"/>
      <c r="K14" s="380"/>
      <c r="L14" s="380"/>
      <c r="M14" s="381"/>
    </row>
    <row r="15" spans="1:13" ht="15.75" thickBot="1" x14ac:dyDescent="0.3">
      <c r="A15" s="375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.75" thickBot="1" x14ac:dyDescent="0.3">
      <c r="A16" s="375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.75" thickBot="1" x14ac:dyDescent="0.3">
      <c r="A17" s="375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.75" thickBot="1" x14ac:dyDescent="0.3">
      <c r="A18" s="375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.75" thickBot="1" x14ac:dyDescent="0.3">
      <c r="A19" s="375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.75" thickBot="1" x14ac:dyDescent="0.3">
      <c r="A20" s="391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.75" thickBot="1" x14ac:dyDescent="0.3">
      <c r="A21" s="374">
        <v>8</v>
      </c>
      <c r="B21" s="51" t="s">
        <v>24</v>
      </c>
      <c r="C21" s="360"/>
      <c r="D21" s="361"/>
      <c r="E21" s="361"/>
      <c r="F21" s="361"/>
      <c r="G21" s="361"/>
      <c r="H21" s="361"/>
      <c r="I21" s="361"/>
      <c r="J21" s="361"/>
      <c r="K21" s="361"/>
      <c r="L21" s="361"/>
      <c r="M21" s="362"/>
    </row>
    <row r="22" spans="1:13" ht="15.75" thickBot="1" x14ac:dyDescent="0.3">
      <c r="A22" s="375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.75" thickBot="1" x14ac:dyDescent="0.3">
      <c r="A23" s="375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.75" thickBot="1" x14ac:dyDescent="0.3">
      <c r="A24" s="391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.75" thickBot="1" x14ac:dyDescent="0.3">
      <c r="A25" s="374">
        <v>9</v>
      </c>
      <c r="B25" s="51" t="s">
        <v>28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2"/>
    </row>
    <row r="26" spans="1:13" ht="15.75" thickBot="1" x14ac:dyDescent="0.3">
      <c r="A26" s="375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.75" thickBot="1" x14ac:dyDescent="0.3">
      <c r="A27" s="375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.75" thickBot="1" x14ac:dyDescent="0.3">
      <c r="A28" s="376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6" customHeight="1" thickTop="1" thickBot="1" x14ac:dyDescent="0.3">
      <c r="A29" s="356" t="s">
        <v>29</v>
      </c>
      <c r="B29" s="357"/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77"/>
    </row>
    <row r="30" spans="1:13" ht="16.5" thickTop="1" thickBot="1" x14ac:dyDescent="0.3">
      <c r="A30" s="378">
        <v>10</v>
      </c>
      <c r="B30" s="66" t="s">
        <v>30</v>
      </c>
      <c r="C30" s="379"/>
      <c r="D30" s="380"/>
      <c r="E30" s="380"/>
      <c r="F30" s="380"/>
      <c r="G30" s="380"/>
      <c r="H30" s="380"/>
      <c r="I30" s="380"/>
      <c r="J30" s="380"/>
      <c r="K30" s="380"/>
      <c r="L30" s="380"/>
      <c r="M30" s="381"/>
    </row>
    <row r="31" spans="1:13" ht="15.75" thickBot="1" x14ac:dyDescent="0.3">
      <c r="A31" s="358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.75" thickBot="1" x14ac:dyDescent="0.3">
      <c r="A32" s="358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.75" thickBot="1" x14ac:dyDescent="0.3">
      <c r="A33" s="353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.75" thickBot="1" x14ac:dyDescent="0.3">
      <c r="A34" s="352">
        <v>11</v>
      </c>
      <c r="B34" s="66" t="s">
        <v>33</v>
      </c>
      <c r="C34" s="360"/>
      <c r="D34" s="361"/>
      <c r="E34" s="361"/>
      <c r="F34" s="361"/>
      <c r="G34" s="361"/>
      <c r="H34" s="361"/>
      <c r="I34" s="361"/>
      <c r="J34" s="372"/>
      <c r="K34" s="373"/>
      <c r="L34" s="361"/>
      <c r="M34" s="362"/>
    </row>
    <row r="35" spans="1:13" ht="15.75" thickBot="1" x14ac:dyDescent="0.3">
      <c r="A35" s="358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.75" thickBot="1" x14ac:dyDescent="0.3">
      <c r="A36" s="358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.75" thickBot="1" x14ac:dyDescent="0.3">
      <c r="A37" s="353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.75" thickBot="1" x14ac:dyDescent="0.3">
      <c r="A38" s="352">
        <v>12</v>
      </c>
      <c r="B38" s="66" t="s">
        <v>34</v>
      </c>
      <c r="C38" s="360"/>
      <c r="D38" s="361"/>
      <c r="E38" s="361"/>
      <c r="F38" s="361"/>
      <c r="G38" s="361"/>
      <c r="H38" s="361"/>
      <c r="I38" s="361"/>
      <c r="J38" s="372"/>
      <c r="K38" s="373"/>
      <c r="L38" s="361"/>
      <c r="M38" s="362"/>
    </row>
    <row r="39" spans="1:13" ht="15.75" thickBot="1" x14ac:dyDescent="0.3">
      <c r="A39" s="358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.75" thickBot="1" x14ac:dyDescent="0.3">
      <c r="A40" s="358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.75" thickBot="1" x14ac:dyDescent="0.3">
      <c r="A41" s="353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.75" thickBot="1" x14ac:dyDescent="0.3">
      <c r="A42" s="352">
        <v>13</v>
      </c>
      <c r="B42" s="66" t="s">
        <v>36</v>
      </c>
      <c r="C42" s="360"/>
      <c r="D42" s="361"/>
      <c r="E42" s="361"/>
      <c r="F42" s="361"/>
      <c r="G42" s="361"/>
      <c r="H42" s="361"/>
      <c r="I42" s="361"/>
      <c r="J42" s="361"/>
      <c r="K42" s="361"/>
      <c r="L42" s="361"/>
      <c r="M42" s="362"/>
    </row>
    <row r="43" spans="1:13" ht="15.75" thickBot="1" x14ac:dyDescent="0.3">
      <c r="A43" s="358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.75" thickBot="1" x14ac:dyDescent="0.3">
      <c r="A44" s="358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.75" thickBot="1" x14ac:dyDescent="0.3">
      <c r="A45" s="353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.75" thickBot="1" x14ac:dyDescent="0.3">
      <c r="A46" s="352">
        <v>14</v>
      </c>
      <c r="B46" s="66" t="s">
        <v>37</v>
      </c>
      <c r="C46" s="360"/>
      <c r="D46" s="361"/>
      <c r="E46" s="361"/>
      <c r="F46" s="361"/>
      <c r="G46" s="361"/>
      <c r="H46" s="361"/>
      <c r="I46" s="361"/>
      <c r="J46" s="361"/>
      <c r="K46" s="372"/>
      <c r="L46" s="71"/>
      <c r="M46" s="72"/>
    </row>
    <row r="47" spans="1:13" ht="15.75" thickBot="1" x14ac:dyDescent="0.3">
      <c r="A47" s="358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.75" thickBot="1" x14ac:dyDescent="0.3">
      <c r="A48" s="358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.75" thickBot="1" x14ac:dyDescent="0.3">
      <c r="A49" s="353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.75" thickBot="1" x14ac:dyDescent="0.3">
      <c r="A50" s="352">
        <v>15</v>
      </c>
      <c r="B50" s="66" t="s">
        <v>38</v>
      </c>
      <c r="C50" s="360"/>
      <c r="D50" s="361"/>
      <c r="E50" s="361"/>
      <c r="F50" s="361"/>
      <c r="G50" s="361"/>
      <c r="H50" s="361"/>
      <c r="I50" s="361"/>
      <c r="J50" s="361"/>
      <c r="K50" s="361"/>
      <c r="L50" s="361"/>
      <c r="M50" s="362"/>
    </row>
    <row r="51" spans="1:13" ht="15.75" thickBot="1" x14ac:dyDescent="0.3">
      <c r="A51" s="358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.75" thickBot="1" x14ac:dyDescent="0.3">
      <c r="A52" s="358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.75" thickBot="1" x14ac:dyDescent="0.3">
      <c r="A53" s="358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.75" thickBot="1" x14ac:dyDescent="0.3">
      <c r="A54" s="358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.75" thickBot="1" x14ac:dyDescent="0.3">
      <c r="A55" s="358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.75" thickBot="1" x14ac:dyDescent="0.3">
      <c r="A56" s="358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.75" thickBot="1" x14ac:dyDescent="0.3">
      <c r="A57" s="358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.75" thickBot="1" x14ac:dyDescent="0.3">
      <c r="A58" s="359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.5" thickTop="1" thickBot="1" x14ac:dyDescent="0.3">
      <c r="A59" s="363">
        <v>16</v>
      </c>
      <c r="B59" s="80" t="s">
        <v>53</v>
      </c>
      <c r="C59" s="366"/>
      <c r="D59" s="367"/>
      <c r="E59" s="367"/>
      <c r="F59" s="367"/>
      <c r="G59" s="367"/>
      <c r="H59" s="367"/>
      <c r="I59" s="367"/>
      <c r="J59" s="367"/>
      <c r="K59" s="367"/>
      <c r="L59" s="367"/>
      <c r="M59" s="368"/>
    </row>
    <row r="60" spans="1:13" ht="15.75" thickBot="1" x14ac:dyDescent="0.3">
      <c r="A60" s="364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75" thickBot="1" x14ac:dyDescent="0.3">
      <c r="A61" s="364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75" thickBot="1" x14ac:dyDescent="0.3">
      <c r="A62" s="365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6" customHeight="1" thickTop="1" thickBot="1" x14ac:dyDescent="0.3">
      <c r="A63" s="369" t="s">
        <v>63</v>
      </c>
      <c r="B63" s="370"/>
      <c r="C63" s="370"/>
      <c r="D63" s="370"/>
      <c r="E63" s="370"/>
      <c r="F63" s="370"/>
      <c r="G63" s="370"/>
      <c r="H63" s="370"/>
      <c r="I63" s="370"/>
      <c r="J63" s="370"/>
      <c r="K63" s="370"/>
      <c r="L63" s="370"/>
      <c r="M63" s="371"/>
    </row>
    <row r="64" spans="1:13" ht="16.5" thickTop="1" thickBot="1" x14ac:dyDescent="0.3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75" thickBot="1" x14ac:dyDescent="0.3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75" thickBot="1" x14ac:dyDescent="0.3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75" thickBot="1" x14ac:dyDescent="0.3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75" thickBot="1" x14ac:dyDescent="0.3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.5" x14ac:dyDescent="0.25">
      <c r="A69" s="354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75" thickBot="1" x14ac:dyDescent="0.3">
      <c r="A70" s="355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75" thickBot="1" x14ac:dyDescent="0.3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.5" x14ac:dyDescent="0.25">
      <c r="A72" s="354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75" thickBot="1" x14ac:dyDescent="0.3">
      <c r="A73" s="355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.5" x14ac:dyDescent="0.25">
      <c r="A74" s="354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75" thickBot="1" x14ac:dyDescent="0.3">
      <c r="A75" s="355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.5" x14ac:dyDescent="0.25">
      <c r="A76" s="354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75" thickBot="1" x14ac:dyDescent="0.3">
      <c r="A77" s="355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75" thickBot="1" x14ac:dyDescent="0.3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75" thickBot="1" x14ac:dyDescent="0.3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.5" x14ac:dyDescent="0.25">
      <c r="A80" s="354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75" thickBot="1" x14ac:dyDescent="0.3">
      <c r="A81" s="355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.5" x14ac:dyDescent="0.25">
      <c r="A82" s="354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75" thickBot="1" x14ac:dyDescent="0.3">
      <c r="A83" s="355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75" thickBot="1" x14ac:dyDescent="0.3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75" thickBot="1" x14ac:dyDescent="0.3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75" thickBot="1" x14ac:dyDescent="0.3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75" thickBot="1" x14ac:dyDescent="0.3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6" customHeight="1" thickTop="1" thickBot="1" x14ac:dyDescent="0.3">
      <c r="A88" s="356" t="s">
        <v>86</v>
      </c>
      <c r="B88" s="357"/>
      <c r="C88" s="357"/>
      <c r="D88" s="357"/>
      <c r="E88" s="357"/>
      <c r="F88" s="357"/>
      <c r="G88" s="357"/>
      <c r="H88" s="357"/>
      <c r="I88" s="357"/>
      <c r="J88" s="357"/>
      <c r="K88" s="357"/>
      <c r="L88" s="357"/>
      <c r="M88" s="357"/>
      <c r="N88" s="101"/>
    </row>
    <row r="89" spans="1:14" ht="16.5" thickTop="1" thickBot="1" x14ac:dyDescent="0.3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.75" thickBot="1" x14ac:dyDescent="0.3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.75" thickBot="1" x14ac:dyDescent="0.3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.75" thickBot="1" x14ac:dyDescent="0.3">
      <c r="A92" s="352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.75" thickBot="1" x14ac:dyDescent="0.3">
      <c r="A93" s="353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.75" thickBot="1" x14ac:dyDescent="0.3">
      <c r="A94" s="352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.75" thickBot="1" x14ac:dyDescent="0.3">
      <c r="A95" s="353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.75" thickBot="1" x14ac:dyDescent="0.3">
      <c r="A96" s="352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.75" thickBot="1" x14ac:dyDescent="0.3">
      <c r="A97" s="353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.75" thickBot="1" x14ac:dyDescent="0.3">
      <c r="A98" s="352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.75" thickBot="1" x14ac:dyDescent="0.3">
      <c r="A99" s="353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.75" thickBot="1" x14ac:dyDescent="0.3">
      <c r="A100" s="352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.75" thickBot="1" x14ac:dyDescent="0.3">
      <c r="A101" s="353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.75" thickBot="1" x14ac:dyDescent="0.3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75" x14ac:dyDescent="0.25">
      <c r="A103" s="350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.75" thickBot="1" x14ac:dyDescent="0.3">
      <c r="A104" s="351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75" x14ac:dyDescent="0.25">
      <c r="A105" s="350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.75" thickBot="1" x14ac:dyDescent="0.3">
      <c r="A106" s="351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75" x14ac:dyDescent="0.25">
      <c r="A107" s="350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.75" thickBot="1" x14ac:dyDescent="0.3">
      <c r="A108" s="351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75" x14ac:dyDescent="0.25">
      <c r="A109" s="350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.75" thickBot="1" x14ac:dyDescent="0.3">
      <c r="A110" s="351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.75" thickBot="1" x14ac:dyDescent="0.3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.75" thickBot="1" x14ac:dyDescent="0.3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.75" thickTop="1" x14ac:dyDescent="0.25"/>
    <row r="114" spans="1:8" ht="15.75" x14ac:dyDescent="0.25">
      <c r="A114" s="113" t="s">
        <v>102</v>
      </c>
    </row>
    <row r="115" spans="1:8" ht="15.75" x14ac:dyDescent="0.25">
      <c r="A115" s="113" t="s">
        <v>103</v>
      </c>
    </row>
    <row r="116" spans="1:8" ht="16.5" thickBot="1" x14ac:dyDescent="0.3">
      <c r="A116" s="114" t="s">
        <v>104</v>
      </c>
    </row>
    <row r="117" spans="1:8" ht="17.25" thickTop="1" thickBot="1" x14ac:dyDescent="0.3">
      <c r="A117" s="115" t="s">
        <v>105</v>
      </c>
      <c r="B117" s="289" t="s">
        <v>1</v>
      </c>
      <c r="C117" s="338" t="s">
        <v>107</v>
      </c>
      <c r="D117" s="339"/>
      <c r="E117" s="339"/>
      <c r="F117" s="339"/>
      <c r="G117" s="339"/>
      <c r="H117" s="340"/>
    </row>
    <row r="118" spans="1:8" ht="17.25" thickTop="1" thickBot="1" x14ac:dyDescent="0.3">
      <c r="A118" s="116" t="s">
        <v>106</v>
      </c>
      <c r="B118" s="288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75" thickTop="1" thickBot="1" x14ac:dyDescent="0.3">
      <c r="A119" s="341"/>
      <c r="B119" s="119"/>
      <c r="C119" s="343" t="s">
        <v>4</v>
      </c>
      <c r="D119" s="344"/>
      <c r="E119" s="344"/>
      <c r="F119" s="344"/>
      <c r="G119" s="344"/>
      <c r="H119" s="345"/>
    </row>
    <row r="120" spans="1:8" ht="17.25" thickTop="1" thickBot="1" x14ac:dyDescent="0.3">
      <c r="A120" s="342"/>
      <c r="B120" s="117" t="s">
        <v>3</v>
      </c>
      <c r="C120" s="346" t="s">
        <v>108</v>
      </c>
      <c r="D120" s="347"/>
      <c r="E120" s="347"/>
      <c r="F120" s="348"/>
      <c r="G120" s="79" t="s">
        <v>109</v>
      </c>
      <c r="H120" s="79" t="s">
        <v>109</v>
      </c>
    </row>
    <row r="121" spans="1:8" ht="17.25" thickTop="1" thickBot="1" x14ac:dyDescent="0.3">
      <c r="A121" s="302" t="s">
        <v>8</v>
      </c>
      <c r="B121" s="303"/>
      <c r="C121" s="303"/>
      <c r="D121" s="303"/>
      <c r="E121" s="303"/>
      <c r="F121" s="303"/>
      <c r="G121" s="303"/>
      <c r="H121" s="304"/>
    </row>
    <row r="122" spans="1:8" ht="17.25" thickTop="1" thickBot="1" x14ac:dyDescent="0.3">
      <c r="A122" s="120">
        <v>1</v>
      </c>
      <c r="B122" s="121" t="s">
        <v>9</v>
      </c>
      <c r="C122" s="327">
        <v>75</v>
      </c>
      <c r="D122" s="328"/>
      <c r="E122" s="328"/>
      <c r="F122" s="328"/>
      <c r="G122" s="328"/>
      <c r="H122" s="329"/>
    </row>
    <row r="123" spans="1:8" ht="17.25" thickTop="1" thickBot="1" x14ac:dyDescent="0.3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.5" thickBot="1" x14ac:dyDescent="0.3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.5" thickTop="1" x14ac:dyDescent="0.25">
      <c r="A125" s="330">
        <v>4</v>
      </c>
      <c r="B125" s="59" t="s">
        <v>12</v>
      </c>
      <c r="C125" s="332">
        <v>8.0500000000000007</v>
      </c>
      <c r="D125" s="334">
        <v>8.0500000000000007</v>
      </c>
      <c r="E125" s="336">
        <v>8.07</v>
      </c>
      <c r="F125" s="330">
        <v>7.88</v>
      </c>
      <c r="G125" s="289">
        <v>7.29</v>
      </c>
      <c r="H125" s="289">
        <v>6.57</v>
      </c>
    </row>
    <row r="126" spans="1:8" ht="16.5" thickBot="1" x14ac:dyDescent="0.3">
      <c r="A126" s="331"/>
      <c r="B126" s="121" t="s">
        <v>13</v>
      </c>
      <c r="C126" s="333"/>
      <c r="D126" s="335"/>
      <c r="E126" s="337"/>
      <c r="F126" s="331"/>
      <c r="G126" s="288"/>
      <c r="H126" s="288"/>
    </row>
    <row r="127" spans="1:8" ht="17.25" thickTop="1" thickBot="1" x14ac:dyDescent="0.3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.5" thickBot="1" x14ac:dyDescent="0.3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7.25" thickTop="1" thickBot="1" x14ac:dyDescent="0.3">
      <c r="A129" s="302" t="s">
        <v>16</v>
      </c>
      <c r="B129" s="303"/>
      <c r="C129" s="303"/>
      <c r="D129" s="303"/>
      <c r="E129" s="303"/>
      <c r="F129" s="303"/>
      <c r="G129" s="303"/>
      <c r="H129" s="304"/>
    </row>
    <row r="130" spans="1:8" ht="17.25" thickTop="1" thickBot="1" x14ac:dyDescent="0.3">
      <c r="A130" s="289">
        <v>7</v>
      </c>
      <c r="B130" s="121" t="s">
        <v>110</v>
      </c>
      <c r="C130" s="315"/>
      <c r="D130" s="316"/>
      <c r="E130" s="316"/>
      <c r="F130" s="316"/>
      <c r="G130" s="316"/>
      <c r="H130" s="317"/>
    </row>
    <row r="131" spans="1:8" ht="17.25" thickTop="1" thickBot="1" x14ac:dyDescent="0.3">
      <c r="A131" s="291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.5" thickBot="1" x14ac:dyDescent="0.3">
      <c r="A132" s="291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.5" thickBot="1" x14ac:dyDescent="0.3">
      <c r="A133" s="291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7.25" thickTop="1" thickBot="1" x14ac:dyDescent="0.3">
      <c r="A134" s="291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.5" thickBot="1" x14ac:dyDescent="0.3">
      <c r="A135" s="291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7.25" thickTop="1" thickBot="1" x14ac:dyDescent="0.3">
      <c r="A136" s="290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.5" thickBot="1" x14ac:dyDescent="0.3">
      <c r="A137" s="287">
        <v>8</v>
      </c>
      <c r="B137" s="121" t="s">
        <v>24</v>
      </c>
      <c r="C137" s="318"/>
      <c r="D137" s="319"/>
      <c r="E137" s="319"/>
      <c r="F137" s="319"/>
      <c r="G137" s="319"/>
      <c r="H137" s="320"/>
    </row>
    <row r="138" spans="1:8" ht="17.25" thickTop="1" thickBot="1" x14ac:dyDescent="0.3">
      <c r="A138" s="291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.5" thickBot="1" x14ac:dyDescent="0.3">
      <c r="A139" s="291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7.25" thickTop="1" thickBot="1" x14ac:dyDescent="0.3">
      <c r="A140" s="290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.5" thickBot="1" x14ac:dyDescent="0.3">
      <c r="A141" s="287">
        <v>9</v>
      </c>
      <c r="B141" s="121" t="s">
        <v>28</v>
      </c>
      <c r="C141" s="318"/>
      <c r="D141" s="319"/>
      <c r="E141" s="319"/>
      <c r="F141" s="319"/>
      <c r="G141" s="319"/>
      <c r="H141" s="320"/>
    </row>
    <row r="142" spans="1:8" ht="17.25" thickTop="1" thickBot="1" x14ac:dyDescent="0.3">
      <c r="A142" s="291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.5" thickBot="1" x14ac:dyDescent="0.3">
      <c r="A143" s="291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7.25" thickTop="1" thickBot="1" x14ac:dyDescent="0.3">
      <c r="A144" s="288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7.25" thickTop="1" thickBot="1" x14ac:dyDescent="0.3">
      <c r="A145" s="302" t="s">
        <v>29</v>
      </c>
      <c r="B145" s="303"/>
      <c r="C145" s="303"/>
      <c r="D145" s="303"/>
      <c r="E145" s="303"/>
      <c r="F145" s="303"/>
      <c r="G145" s="303"/>
      <c r="H145" s="304"/>
    </row>
    <row r="146" spans="1:8" ht="17.25" thickTop="1" thickBot="1" x14ac:dyDescent="0.3">
      <c r="A146" s="295">
        <v>10</v>
      </c>
      <c r="B146" s="121" t="s">
        <v>30</v>
      </c>
      <c r="C146" s="315"/>
      <c r="D146" s="316"/>
      <c r="E146" s="316"/>
      <c r="F146" s="316"/>
      <c r="G146" s="316"/>
      <c r="H146" s="317"/>
    </row>
    <row r="147" spans="1:8" ht="17.25" thickTop="1" thickBot="1" x14ac:dyDescent="0.3">
      <c r="A147" s="314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.5" thickBot="1" x14ac:dyDescent="0.3">
      <c r="A148" s="314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7.25" thickTop="1" thickBot="1" x14ac:dyDescent="0.3">
      <c r="A149" s="293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.5" thickBot="1" x14ac:dyDescent="0.3">
      <c r="A150" s="292">
        <v>11</v>
      </c>
      <c r="B150" s="121" t="s">
        <v>33</v>
      </c>
      <c r="C150" s="318"/>
      <c r="D150" s="319"/>
      <c r="E150" s="319"/>
      <c r="F150" s="319"/>
      <c r="G150" s="319"/>
      <c r="H150" s="320"/>
    </row>
    <row r="151" spans="1:8" ht="17.25" thickTop="1" thickBot="1" x14ac:dyDescent="0.3">
      <c r="A151" s="314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.5" thickBot="1" x14ac:dyDescent="0.3">
      <c r="A152" s="314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7.25" thickTop="1" thickBot="1" x14ac:dyDescent="0.3">
      <c r="A153" s="293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.5" thickBot="1" x14ac:dyDescent="0.3">
      <c r="A154" s="292">
        <v>12</v>
      </c>
      <c r="B154" s="121" t="s">
        <v>34</v>
      </c>
      <c r="C154" s="318"/>
      <c r="D154" s="319"/>
      <c r="E154" s="319"/>
      <c r="F154" s="319"/>
      <c r="G154" s="319"/>
      <c r="H154" s="320"/>
    </row>
    <row r="155" spans="1:8" ht="17.25" thickTop="1" thickBot="1" x14ac:dyDescent="0.3">
      <c r="A155" s="314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.5" thickBot="1" x14ac:dyDescent="0.3">
      <c r="A156" s="314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7.25" thickTop="1" thickBot="1" x14ac:dyDescent="0.3">
      <c r="A157" s="293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.5" thickBot="1" x14ac:dyDescent="0.3">
      <c r="A159" s="129" t="s">
        <v>113</v>
      </c>
    </row>
    <row r="160" spans="1:8" ht="17.25" thickTop="1" thickBot="1" x14ac:dyDescent="0.3">
      <c r="A160" s="295">
        <v>13</v>
      </c>
      <c r="B160" s="130" t="s">
        <v>36</v>
      </c>
      <c r="C160" s="324"/>
      <c r="D160" s="325"/>
      <c r="E160" s="325"/>
      <c r="F160" s="325"/>
      <c r="G160" s="325"/>
      <c r="H160" s="326"/>
    </row>
    <row r="161" spans="1:8" ht="16.5" thickBot="1" x14ac:dyDescent="0.3">
      <c r="A161" s="314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7.25" thickTop="1" thickBot="1" x14ac:dyDescent="0.3">
      <c r="A162" s="314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7.25" thickTop="1" thickBot="1" x14ac:dyDescent="0.3">
      <c r="A163" s="294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7.25" thickTop="1" thickBot="1" x14ac:dyDescent="0.3">
      <c r="A164" s="295">
        <v>14</v>
      </c>
      <c r="B164" s="121" t="s">
        <v>37</v>
      </c>
      <c r="C164" s="308"/>
      <c r="D164" s="309"/>
      <c r="E164" s="309"/>
      <c r="F164" s="309"/>
      <c r="G164" s="309"/>
      <c r="H164" s="310"/>
    </row>
    <row r="165" spans="1:8" ht="17.25" thickTop="1" thickBot="1" x14ac:dyDescent="0.3">
      <c r="A165" s="314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7.25" thickTop="1" thickBot="1" x14ac:dyDescent="0.3">
      <c r="A166" s="314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7.25" thickTop="1" thickBot="1" x14ac:dyDescent="0.3">
      <c r="A167" s="293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.5" thickBot="1" x14ac:dyDescent="0.3">
      <c r="A168" s="292">
        <v>15</v>
      </c>
      <c r="B168" s="121" t="s">
        <v>38</v>
      </c>
      <c r="C168" s="318"/>
      <c r="D168" s="319"/>
      <c r="E168" s="319"/>
      <c r="F168" s="319"/>
      <c r="G168" s="319"/>
      <c r="H168" s="320"/>
    </row>
    <row r="169" spans="1:8" ht="17.25" thickTop="1" thickBot="1" x14ac:dyDescent="0.3">
      <c r="A169" s="314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7.25" thickTop="1" thickBot="1" x14ac:dyDescent="0.3">
      <c r="A170" s="314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7.25" thickTop="1" thickBot="1" x14ac:dyDescent="0.3">
      <c r="A171" s="314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7.25" thickTop="1" thickBot="1" x14ac:dyDescent="0.3">
      <c r="A172" s="314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7.25" thickTop="1" thickBot="1" x14ac:dyDescent="0.3">
      <c r="A173" s="314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7.25" thickTop="1" thickBot="1" x14ac:dyDescent="0.3">
      <c r="A174" s="314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.5" thickBot="1" x14ac:dyDescent="0.3">
      <c r="A175" s="314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7.25" thickTop="1" thickBot="1" x14ac:dyDescent="0.3">
      <c r="A176" s="294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7.25" thickTop="1" thickBot="1" x14ac:dyDescent="0.3">
      <c r="A177" s="295">
        <v>16</v>
      </c>
      <c r="B177" s="121" t="s">
        <v>53</v>
      </c>
      <c r="C177" s="308"/>
      <c r="D177" s="309"/>
      <c r="E177" s="309"/>
      <c r="F177" s="309"/>
      <c r="G177" s="309"/>
      <c r="H177" s="310"/>
    </row>
    <row r="178" spans="1:8" ht="17.25" thickTop="1" thickBot="1" x14ac:dyDescent="0.3">
      <c r="A178" s="314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7.25" thickTop="1" thickBot="1" x14ac:dyDescent="0.3">
      <c r="A179" s="314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7.25" thickTop="1" thickBot="1" x14ac:dyDescent="0.3">
      <c r="A180" s="294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7.25" thickTop="1" thickBot="1" x14ac:dyDescent="0.3">
      <c r="A181" s="302" t="s">
        <v>63</v>
      </c>
      <c r="B181" s="303"/>
      <c r="C181" s="303"/>
      <c r="D181" s="303"/>
      <c r="E181" s="303"/>
      <c r="F181" s="303"/>
      <c r="G181" s="303"/>
      <c r="H181" s="304"/>
    </row>
    <row r="182" spans="1:8" ht="17.25" thickTop="1" thickBot="1" x14ac:dyDescent="0.3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7.25" thickTop="1" thickBot="1" x14ac:dyDescent="0.3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7.25" thickTop="1" thickBot="1" x14ac:dyDescent="0.3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7.25" thickTop="1" thickBot="1" x14ac:dyDescent="0.3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.5" thickBot="1" x14ac:dyDescent="0.3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25">
      <c r="A187" s="289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.5" thickBot="1" x14ac:dyDescent="0.3">
      <c r="A188" s="288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7.25" thickTop="1" thickBot="1" x14ac:dyDescent="0.3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25">
      <c r="A190" s="289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.5" thickBot="1" x14ac:dyDescent="0.3">
      <c r="A191" s="288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25">
      <c r="A192" s="289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.5" thickBot="1" x14ac:dyDescent="0.3">
      <c r="A193" s="288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25">
      <c r="A194" s="289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.5" thickBot="1" x14ac:dyDescent="0.3">
      <c r="A195" s="288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25">
      <c r="A196" s="289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.5" thickBot="1" x14ac:dyDescent="0.3">
      <c r="A197" s="288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25">
      <c r="A198" s="289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.5" thickBot="1" x14ac:dyDescent="0.3">
      <c r="A199" s="290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25" x14ac:dyDescent="0.25">
      <c r="A200" s="287">
        <v>29</v>
      </c>
      <c r="B200" s="59" t="s">
        <v>129</v>
      </c>
      <c r="C200" s="349">
        <v>146.30000000000001</v>
      </c>
      <c r="D200" s="138"/>
      <c r="E200" s="119"/>
      <c r="F200" s="119"/>
      <c r="G200" s="119"/>
      <c r="H200" s="119"/>
    </row>
    <row r="201" spans="1:8" ht="16.5" thickBot="1" x14ac:dyDescent="0.3">
      <c r="A201" s="288"/>
      <c r="B201" s="121" t="s">
        <v>138</v>
      </c>
      <c r="C201" s="333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7.25" thickTop="1" thickBot="1" x14ac:dyDescent="0.3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7.25" thickTop="1" thickBot="1" x14ac:dyDescent="0.3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7.25" thickTop="1" thickBot="1" x14ac:dyDescent="0.3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7.25" thickTop="1" thickBot="1" x14ac:dyDescent="0.3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7.25" thickTop="1" thickBot="1" x14ac:dyDescent="0.3">
      <c r="A206" s="302" t="s">
        <v>86</v>
      </c>
      <c r="B206" s="303"/>
      <c r="C206" s="303"/>
      <c r="D206" s="303"/>
      <c r="E206" s="303"/>
      <c r="F206" s="303"/>
      <c r="G206" s="303"/>
      <c r="H206" s="304"/>
    </row>
    <row r="207" spans="1:8" ht="17.25" thickTop="1" thickBot="1" x14ac:dyDescent="0.3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7.25" thickTop="1" thickBot="1" x14ac:dyDescent="0.3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7.25" thickTop="1" thickBot="1" x14ac:dyDescent="0.3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7.25" thickTop="1" thickBot="1" x14ac:dyDescent="0.3">
      <c r="A210" s="295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7.25" thickTop="1" thickBot="1" x14ac:dyDescent="0.3">
      <c r="A211" s="294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7.25" thickTop="1" thickBot="1" x14ac:dyDescent="0.3">
      <c r="A212" s="295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7.25" thickTop="1" thickBot="1" x14ac:dyDescent="0.3">
      <c r="A213" s="294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7.25" thickTop="1" thickBot="1" x14ac:dyDescent="0.3">
      <c r="A214" s="295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7.25" thickTop="1" thickBot="1" x14ac:dyDescent="0.3">
      <c r="A215" s="294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7.25" thickTop="1" thickBot="1" x14ac:dyDescent="0.3">
      <c r="A216" s="295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7.25" thickTop="1" thickBot="1" x14ac:dyDescent="0.3">
      <c r="A217" s="294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7.25" thickTop="1" thickBot="1" x14ac:dyDescent="0.3">
      <c r="A218" s="295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7.25" thickTop="1" thickBot="1" x14ac:dyDescent="0.3">
      <c r="A219" s="294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2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.5" thickBot="1" x14ac:dyDescent="0.3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25">
      <c r="A222" s="289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.5" thickBot="1" x14ac:dyDescent="0.3">
      <c r="A223" s="288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25">
      <c r="A224" s="289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.5" thickBot="1" x14ac:dyDescent="0.3">
      <c r="A225" s="288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25">
      <c r="A226" s="289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.5" thickBot="1" x14ac:dyDescent="0.3">
      <c r="A227" s="288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.25" thickTop="1" x14ac:dyDescent="0.25">
      <c r="A228" s="289">
        <v>46</v>
      </c>
      <c r="B228" s="96"/>
      <c r="C228" s="137"/>
      <c r="D228" s="137"/>
      <c r="E228" s="139"/>
      <c r="F228" s="139"/>
      <c r="G228" s="139"/>
      <c r="H228" s="139"/>
    </row>
    <row r="229" spans="1:8" ht="31.5" x14ac:dyDescent="0.25">
      <c r="A229" s="291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.5" thickBot="1" x14ac:dyDescent="0.3">
      <c r="A230" s="288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7.25" thickTop="1" thickBot="1" x14ac:dyDescent="0.3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7.25" thickTop="1" thickBot="1" x14ac:dyDescent="0.3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.75" thickTop="1" x14ac:dyDescent="0.25"/>
    <row r="234" spans="1:8" ht="15.75" x14ac:dyDescent="0.25">
      <c r="A234" s="113" t="s">
        <v>102</v>
      </c>
    </row>
    <row r="235" spans="1:8" ht="15.75" x14ac:dyDescent="0.25">
      <c r="A235" s="113" t="s">
        <v>151</v>
      </c>
    </row>
    <row r="236" spans="1:8" ht="16.5" thickBot="1" x14ac:dyDescent="0.3">
      <c r="A236" s="114" t="s">
        <v>152</v>
      </c>
    </row>
    <row r="237" spans="1:8" ht="17.25" thickTop="1" thickBot="1" x14ac:dyDescent="0.3">
      <c r="A237" s="115" t="s">
        <v>105</v>
      </c>
      <c r="B237" s="289" t="s">
        <v>1</v>
      </c>
      <c r="C237" s="338" t="s">
        <v>107</v>
      </c>
      <c r="D237" s="339"/>
      <c r="E237" s="339"/>
      <c r="F237" s="339"/>
      <c r="G237" s="339"/>
      <c r="H237" s="340"/>
    </row>
    <row r="238" spans="1:8" ht="17.25" thickTop="1" thickBot="1" x14ac:dyDescent="0.3">
      <c r="A238" s="116" t="s">
        <v>106</v>
      </c>
      <c r="B238" s="288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75" thickTop="1" thickBot="1" x14ac:dyDescent="0.3">
      <c r="A239" s="341"/>
      <c r="B239" s="119"/>
      <c r="C239" s="343" t="s">
        <v>4</v>
      </c>
      <c r="D239" s="344"/>
      <c r="E239" s="344"/>
      <c r="F239" s="344"/>
      <c r="G239" s="344"/>
      <c r="H239" s="345"/>
    </row>
    <row r="240" spans="1:8" ht="17.25" thickTop="1" thickBot="1" x14ac:dyDescent="0.3">
      <c r="A240" s="342"/>
      <c r="B240" s="117" t="s">
        <v>3</v>
      </c>
      <c r="C240" s="346" t="s">
        <v>108</v>
      </c>
      <c r="D240" s="347"/>
      <c r="E240" s="347"/>
      <c r="F240" s="348"/>
      <c r="G240" s="79" t="s">
        <v>153</v>
      </c>
      <c r="H240" s="148" t="s">
        <v>153</v>
      </c>
    </row>
    <row r="241" spans="1:8" ht="17.25" thickTop="1" thickBot="1" x14ac:dyDescent="0.3">
      <c r="A241" s="302" t="s">
        <v>8</v>
      </c>
      <c r="B241" s="303"/>
      <c r="C241" s="303"/>
      <c r="D241" s="303"/>
      <c r="E241" s="303"/>
      <c r="F241" s="303"/>
      <c r="G241" s="303"/>
      <c r="H241" s="304"/>
    </row>
    <row r="242" spans="1:8" ht="17.25" thickTop="1" thickBot="1" x14ac:dyDescent="0.3">
      <c r="A242" s="120">
        <v>1</v>
      </c>
      <c r="B242" s="121" t="s">
        <v>9</v>
      </c>
      <c r="C242" s="327">
        <v>50</v>
      </c>
      <c r="D242" s="328"/>
      <c r="E242" s="328"/>
      <c r="F242" s="328"/>
      <c r="G242" s="328"/>
      <c r="H242" s="329"/>
    </row>
    <row r="243" spans="1:8" ht="17.25" thickTop="1" thickBot="1" x14ac:dyDescent="0.3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.5" thickBot="1" x14ac:dyDescent="0.3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.5" thickTop="1" x14ac:dyDescent="0.25">
      <c r="A245" s="330">
        <v>4</v>
      </c>
      <c r="B245" s="59" t="s">
        <v>12</v>
      </c>
      <c r="C245" s="332">
        <v>6.19</v>
      </c>
      <c r="D245" s="334">
        <v>6.19</v>
      </c>
      <c r="E245" s="336">
        <v>6.2</v>
      </c>
      <c r="F245" s="330">
        <v>6.09</v>
      </c>
      <c r="G245" s="289">
        <v>5.63</v>
      </c>
      <c r="H245" s="295">
        <v>5.07</v>
      </c>
    </row>
    <row r="246" spans="1:8" ht="16.5" thickBot="1" x14ac:dyDescent="0.3">
      <c r="A246" s="331"/>
      <c r="B246" s="121" t="s">
        <v>13</v>
      </c>
      <c r="C246" s="333"/>
      <c r="D246" s="335"/>
      <c r="E246" s="337"/>
      <c r="F246" s="331"/>
      <c r="G246" s="288"/>
      <c r="H246" s="294"/>
    </row>
    <row r="247" spans="1:8" ht="17.25" thickTop="1" thickBot="1" x14ac:dyDescent="0.3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.5" thickBot="1" x14ac:dyDescent="0.3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7.25" thickTop="1" thickBot="1" x14ac:dyDescent="0.3">
      <c r="A249" s="302" t="s">
        <v>16</v>
      </c>
      <c r="B249" s="303"/>
      <c r="C249" s="303"/>
      <c r="D249" s="303"/>
      <c r="E249" s="303"/>
      <c r="F249" s="303"/>
      <c r="G249" s="303"/>
      <c r="H249" s="304"/>
    </row>
    <row r="250" spans="1:8" ht="17.25" thickTop="1" thickBot="1" x14ac:dyDescent="0.3">
      <c r="A250" s="289">
        <v>7</v>
      </c>
      <c r="B250" s="123" t="s">
        <v>110</v>
      </c>
      <c r="C250" s="324"/>
      <c r="D250" s="325"/>
      <c r="E250" s="325"/>
      <c r="F250" s="325"/>
      <c r="G250" s="325"/>
      <c r="H250" s="326"/>
    </row>
    <row r="251" spans="1:8" ht="16.5" thickBot="1" x14ac:dyDescent="0.3">
      <c r="A251" s="291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7.25" thickTop="1" thickBot="1" x14ac:dyDescent="0.3">
      <c r="A252" s="291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.5" thickBot="1" x14ac:dyDescent="0.3">
      <c r="A253" s="291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7.25" thickTop="1" thickBot="1" x14ac:dyDescent="0.3">
      <c r="A254" s="291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.5" thickBot="1" x14ac:dyDescent="0.3">
      <c r="A255" s="291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7.25" thickTop="1" thickBot="1" x14ac:dyDescent="0.3">
      <c r="A256" s="290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.5" thickBot="1" x14ac:dyDescent="0.3">
      <c r="A257" s="287">
        <v>8</v>
      </c>
      <c r="B257" s="121" t="s">
        <v>24</v>
      </c>
      <c r="C257" s="318"/>
      <c r="D257" s="319"/>
      <c r="E257" s="319"/>
      <c r="F257" s="319"/>
      <c r="G257" s="319"/>
      <c r="H257" s="320"/>
    </row>
    <row r="258" spans="1:8" ht="17.25" thickTop="1" thickBot="1" x14ac:dyDescent="0.3">
      <c r="A258" s="291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.5" thickBot="1" x14ac:dyDescent="0.3">
      <c r="A259" s="291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7.25" thickTop="1" thickBot="1" x14ac:dyDescent="0.3">
      <c r="A260" s="290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.5" thickBot="1" x14ac:dyDescent="0.3">
      <c r="A261" s="287">
        <v>9</v>
      </c>
      <c r="B261" s="121" t="s">
        <v>28</v>
      </c>
      <c r="C261" s="318"/>
      <c r="D261" s="319"/>
      <c r="E261" s="319"/>
      <c r="F261" s="319"/>
      <c r="G261" s="319"/>
      <c r="H261" s="320"/>
    </row>
    <row r="262" spans="1:8" ht="17.25" thickTop="1" thickBot="1" x14ac:dyDescent="0.3">
      <c r="A262" s="291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7.25" thickTop="1" thickBot="1" x14ac:dyDescent="0.3">
      <c r="A263" s="291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.5" thickBot="1" x14ac:dyDescent="0.3">
      <c r="A264" s="288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7.25" thickTop="1" thickBot="1" x14ac:dyDescent="0.3">
      <c r="A265" s="302" t="s">
        <v>29</v>
      </c>
      <c r="B265" s="303"/>
      <c r="C265" s="303"/>
      <c r="D265" s="303"/>
      <c r="E265" s="303"/>
      <c r="F265" s="303"/>
      <c r="G265" s="303"/>
      <c r="H265" s="304"/>
    </row>
    <row r="266" spans="1:8" ht="17.25" thickTop="1" thickBot="1" x14ac:dyDescent="0.3">
      <c r="A266" s="295">
        <v>10</v>
      </c>
      <c r="B266" s="121" t="s">
        <v>30</v>
      </c>
      <c r="C266" s="315"/>
      <c r="D266" s="316"/>
      <c r="E266" s="316"/>
      <c r="F266" s="316"/>
      <c r="G266" s="316"/>
      <c r="H266" s="317"/>
    </row>
    <row r="267" spans="1:8" ht="17.25" thickTop="1" thickBot="1" x14ac:dyDescent="0.3">
      <c r="A267" s="314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.5" thickBot="1" x14ac:dyDescent="0.3">
      <c r="A268" s="314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7.25" thickTop="1" thickBot="1" x14ac:dyDescent="0.3">
      <c r="A269" s="293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.5" thickBot="1" x14ac:dyDescent="0.3">
      <c r="A270" s="292">
        <v>11</v>
      </c>
      <c r="B270" s="121" t="s">
        <v>33</v>
      </c>
      <c r="C270" s="318"/>
      <c r="D270" s="319"/>
      <c r="E270" s="319"/>
      <c r="F270" s="319"/>
      <c r="G270" s="319"/>
      <c r="H270" s="320"/>
    </row>
    <row r="271" spans="1:8" ht="17.25" thickTop="1" thickBot="1" x14ac:dyDescent="0.3">
      <c r="A271" s="314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.5" thickBot="1" x14ac:dyDescent="0.3">
      <c r="A272" s="314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7.25" thickTop="1" thickBot="1" x14ac:dyDescent="0.3">
      <c r="A273" s="293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.5" thickBot="1" x14ac:dyDescent="0.3">
      <c r="A274" s="292">
        <v>12</v>
      </c>
      <c r="B274" s="123" t="s">
        <v>34</v>
      </c>
      <c r="C274" s="321"/>
      <c r="D274" s="322"/>
      <c r="E274" s="322"/>
      <c r="F274" s="322"/>
      <c r="G274" s="322"/>
      <c r="H274" s="323"/>
    </row>
    <row r="275" spans="1:8" ht="16.5" thickBot="1" x14ac:dyDescent="0.3">
      <c r="A275" s="314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7.25" thickTop="1" thickBot="1" x14ac:dyDescent="0.3">
      <c r="A276" s="314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.5" thickBot="1" x14ac:dyDescent="0.3">
      <c r="A277" s="294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8" thickTop="1" thickBot="1" x14ac:dyDescent="0.3">
      <c r="A278" s="305">
        <v>13</v>
      </c>
      <c r="B278" s="149" t="s">
        <v>36</v>
      </c>
      <c r="C278" s="308"/>
      <c r="D278" s="309"/>
      <c r="E278" s="309"/>
      <c r="F278" s="309"/>
      <c r="G278" s="309"/>
      <c r="H278" s="310"/>
    </row>
    <row r="279" spans="1:8" ht="18" thickTop="1" thickBot="1" x14ac:dyDescent="0.3">
      <c r="A279" s="306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8" thickTop="1" thickBot="1" x14ac:dyDescent="0.3">
      <c r="A280" s="306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8" thickTop="1" thickBot="1" x14ac:dyDescent="0.3">
      <c r="A281" s="307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8" thickTop="1" thickBot="1" x14ac:dyDescent="0.3">
      <c r="A282" s="305">
        <v>14</v>
      </c>
      <c r="B282" s="150" t="s">
        <v>37</v>
      </c>
      <c r="C282" s="308"/>
      <c r="D282" s="309"/>
      <c r="E282" s="309"/>
      <c r="F282" s="309"/>
      <c r="G282" s="309"/>
      <c r="H282" s="310"/>
    </row>
    <row r="283" spans="1:8" ht="18" thickTop="1" thickBot="1" x14ac:dyDescent="0.3">
      <c r="A283" s="306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8" thickTop="1" thickBot="1" x14ac:dyDescent="0.3">
      <c r="A284" s="306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8" thickTop="1" thickBot="1" x14ac:dyDescent="0.3">
      <c r="A285" s="307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8" thickTop="1" thickBot="1" x14ac:dyDescent="0.3">
      <c r="A286" s="305">
        <v>15</v>
      </c>
      <c r="B286" s="150" t="s">
        <v>38</v>
      </c>
      <c r="C286" s="308"/>
      <c r="D286" s="309"/>
      <c r="E286" s="309"/>
      <c r="F286" s="309"/>
      <c r="G286" s="309"/>
      <c r="H286" s="310"/>
    </row>
    <row r="287" spans="1:8" ht="18" thickTop="1" thickBot="1" x14ac:dyDescent="0.3">
      <c r="A287" s="306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8" thickTop="1" thickBot="1" x14ac:dyDescent="0.3">
      <c r="A288" s="306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8" thickTop="1" thickBot="1" x14ac:dyDescent="0.3">
      <c r="A289" s="306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8" thickTop="1" thickBot="1" x14ac:dyDescent="0.3">
      <c r="A290" s="306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8" thickTop="1" thickBot="1" x14ac:dyDescent="0.3">
      <c r="A291" s="306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8" thickTop="1" thickBot="1" x14ac:dyDescent="0.3">
      <c r="A292" s="306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8" thickTop="1" thickBot="1" x14ac:dyDescent="0.3">
      <c r="A293" s="306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8" thickTop="1" thickBot="1" x14ac:dyDescent="0.3">
      <c r="A294" s="307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8" thickTop="1" thickBot="1" x14ac:dyDescent="0.3">
      <c r="A295" s="305">
        <v>16</v>
      </c>
      <c r="B295" s="150" t="s">
        <v>53</v>
      </c>
      <c r="C295" s="308"/>
      <c r="D295" s="309"/>
      <c r="E295" s="309"/>
      <c r="F295" s="309"/>
      <c r="G295" s="309"/>
      <c r="H295" s="310"/>
    </row>
    <row r="296" spans="1:8" ht="18" thickTop="1" thickBot="1" x14ac:dyDescent="0.3">
      <c r="A296" s="306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8" thickTop="1" thickBot="1" x14ac:dyDescent="0.3">
      <c r="A297" s="306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8" thickTop="1" thickBot="1" x14ac:dyDescent="0.3">
      <c r="A298" s="307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8" thickTop="1" thickBot="1" x14ac:dyDescent="0.3">
      <c r="A299" s="311" t="s">
        <v>63</v>
      </c>
      <c r="B299" s="312"/>
      <c r="C299" s="312"/>
      <c r="D299" s="312"/>
      <c r="E299" s="312"/>
      <c r="F299" s="312"/>
      <c r="G299" s="312"/>
      <c r="H299" s="313"/>
    </row>
    <row r="300" spans="1:8" ht="18" thickTop="1" thickBot="1" x14ac:dyDescent="0.3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8" thickTop="1" thickBot="1" x14ac:dyDescent="0.3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8" thickTop="1" thickBot="1" x14ac:dyDescent="0.3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8" thickTop="1" thickBot="1" x14ac:dyDescent="0.3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8" thickTop="1" thickBot="1" x14ac:dyDescent="0.3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25">
      <c r="A305" s="298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7.25" thickBot="1" x14ac:dyDescent="0.3">
      <c r="A306" s="299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8" thickTop="1" thickBot="1" x14ac:dyDescent="0.3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25">
      <c r="A308" s="298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7.25" thickBot="1" x14ac:dyDescent="0.3">
      <c r="A309" s="299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25">
      <c r="A310" s="298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7.25" thickBot="1" x14ac:dyDescent="0.3">
      <c r="A311" s="299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25">
      <c r="A312" s="298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7.25" thickBot="1" x14ac:dyDescent="0.3">
      <c r="A313" s="299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8" thickTop="1" thickBot="1" x14ac:dyDescent="0.3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25">
      <c r="A315" s="298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7.25" thickBot="1" x14ac:dyDescent="0.3">
      <c r="A316" s="299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25">
      <c r="A317" s="298">
        <v>29</v>
      </c>
      <c r="B317" s="99" t="s">
        <v>129</v>
      </c>
      <c r="C317" s="300">
        <v>138.9</v>
      </c>
      <c r="D317" s="138"/>
      <c r="E317" s="119"/>
      <c r="F317" s="139"/>
      <c r="G317" s="119"/>
      <c r="H317" s="119"/>
    </row>
    <row r="318" spans="1:8" ht="17.25" thickBot="1" x14ac:dyDescent="0.3">
      <c r="A318" s="299"/>
      <c r="B318" s="150" t="s">
        <v>138</v>
      </c>
      <c r="C318" s="301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8" thickTop="1" thickBot="1" x14ac:dyDescent="0.3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7.25" thickTop="1" thickBot="1" x14ac:dyDescent="0.3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.5" thickBot="1" x14ac:dyDescent="0.3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7.25" thickTop="1" thickBot="1" x14ac:dyDescent="0.3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7.25" thickTop="1" thickBot="1" x14ac:dyDescent="0.3">
      <c r="A323" s="302" t="s">
        <v>86</v>
      </c>
      <c r="B323" s="303"/>
      <c r="C323" s="303"/>
      <c r="D323" s="303"/>
      <c r="E323" s="303"/>
      <c r="F323" s="303"/>
      <c r="G323" s="303"/>
      <c r="H323" s="304"/>
    </row>
    <row r="324" spans="1:8" ht="17.25" thickTop="1" thickBot="1" x14ac:dyDescent="0.3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7.25" thickTop="1" thickBot="1" x14ac:dyDescent="0.3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.5" thickBot="1" x14ac:dyDescent="0.3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7.25" thickTop="1" thickBot="1" x14ac:dyDescent="0.3">
      <c r="A327" s="295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7.25" thickTop="1" thickBot="1" x14ac:dyDescent="0.3">
      <c r="A328" s="293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.5" thickBot="1" x14ac:dyDescent="0.3">
      <c r="A329" s="292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7.25" thickTop="1" thickBot="1" x14ac:dyDescent="0.3">
      <c r="A330" s="293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.5" thickBot="1" x14ac:dyDescent="0.3">
      <c r="A331" s="292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7.25" thickTop="1" thickBot="1" x14ac:dyDescent="0.3">
      <c r="A332" s="294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7.25" thickTop="1" thickBot="1" x14ac:dyDescent="0.3">
      <c r="A333" s="295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.5" thickBot="1" x14ac:dyDescent="0.3">
      <c r="A334" s="294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7.25" thickTop="1" thickBot="1" x14ac:dyDescent="0.3">
      <c r="A335" s="295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.5" thickBot="1" x14ac:dyDescent="0.3">
      <c r="A336" s="294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.25" thickTop="1" x14ac:dyDescent="0.2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.5" thickBot="1" x14ac:dyDescent="0.3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.5" x14ac:dyDescent="0.25">
      <c r="A339" s="287">
        <v>43</v>
      </c>
      <c r="B339" s="296" t="s">
        <v>162</v>
      </c>
      <c r="C339" s="162"/>
      <c r="D339" s="163"/>
      <c r="E339" s="164"/>
      <c r="F339" s="164"/>
      <c r="G339" s="164"/>
      <c r="H339" s="164"/>
    </row>
    <row r="340" spans="1:8" ht="16.5" thickBot="1" x14ac:dyDescent="0.3">
      <c r="A340" s="290"/>
      <c r="B340" s="297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75" x14ac:dyDescent="0.25">
      <c r="A341" s="287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.5" thickBot="1" x14ac:dyDescent="0.3">
      <c r="A342" s="288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9.5" thickTop="1" x14ac:dyDescent="0.25">
      <c r="A343" s="289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.5" thickBot="1" x14ac:dyDescent="0.3">
      <c r="A344" s="290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25">
      <c r="A345" s="287">
        <v>46</v>
      </c>
      <c r="B345" s="96"/>
      <c r="C345" s="137"/>
      <c r="D345" s="137"/>
      <c r="E345" s="139"/>
      <c r="F345" s="139"/>
      <c r="G345" s="139"/>
      <c r="H345" s="139"/>
    </row>
    <row r="346" spans="1:8" ht="31.5" x14ac:dyDescent="0.25">
      <c r="A346" s="291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.5" thickBot="1" x14ac:dyDescent="0.3">
      <c r="A347" s="288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7.25" thickTop="1" thickBot="1" x14ac:dyDescent="0.3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.5" thickBot="1" x14ac:dyDescent="0.3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.75" thickTop="1" x14ac:dyDescent="0.25"/>
    <row r="351" spans="1:8" x14ac:dyDescent="0.25">
      <c r="A351" s="166"/>
    </row>
    <row r="352" spans="1:8" ht="16.5" x14ac:dyDescent="0.25">
      <c r="A352" s="167"/>
    </row>
    <row r="353" spans="10:10" x14ac:dyDescent="0.25">
      <c r="J353" s="42"/>
    </row>
    <row r="354" spans="10:10" x14ac:dyDescent="0.25">
      <c r="J354" s="42"/>
    </row>
    <row r="355" spans="10:10" x14ac:dyDescent="0.25">
      <c r="J355" s="42"/>
    </row>
    <row r="356" spans="10:10" x14ac:dyDescent="0.25">
      <c r="J356" s="42"/>
    </row>
    <row r="357" spans="10:10" x14ac:dyDescent="0.25">
      <c r="J357" s="42"/>
    </row>
    <row r="358" spans="10:10" x14ac:dyDescent="0.25">
      <c r="J358" s="42"/>
    </row>
    <row r="359" spans="10:10" x14ac:dyDescent="0.25">
      <c r="J359" s="42"/>
    </row>
    <row r="360" spans="10:10" x14ac:dyDescent="0.25">
      <c r="J360" s="42"/>
    </row>
    <row r="361" spans="10:10" x14ac:dyDescent="0.25">
      <c r="J361" s="42"/>
    </row>
    <row r="362" spans="10:10" x14ac:dyDescent="0.25">
      <c r="J362" s="42"/>
    </row>
    <row r="363" spans="10:10" x14ac:dyDescent="0.25">
      <c r="J363" s="42"/>
    </row>
    <row r="364" spans="10:10" x14ac:dyDescent="0.25">
      <c r="J364" s="42"/>
    </row>
    <row r="365" spans="10:10" x14ac:dyDescent="0.25">
      <c r="J365" s="42"/>
    </row>
    <row r="366" spans="10:10" x14ac:dyDescent="0.25">
      <c r="J366" s="42"/>
    </row>
    <row r="367" spans="10:10" x14ac:dyDescent="0.25">
      <c r="J367" s="42"/>
    </row>
    <row r="368" spans="10:10" x14ac:dyDescent="0.25">
      <c r="J368" s="42"/>
    </row>
    <row r="369" spans="10:10" x14ac:dyDescent="0.25">
      <c r="J369" s="42"/>
    </row>
    <row r="370" spans="10:10" x14ac:dyDescent="0.25">
      <c r="J370" s="42"/>
    </row>
    <row r="371" spans="10:10" x14ac:dyDescent="0.25">
      <c r="J371" s="42"/>
    </row>
    <row r="372" spans="10:10" x14ac:dyDescent="0.25">
      <c r="J372" s="42"/>
    </row>
    <row r="373" spans="10:10" x14ac:dyDescent="0.25">
      <c r="J373" s="42"/>
    </row>
    <row r="374" spans="10:10" x14ac:dyDescent="0.25">
      <c r="J374" s="42"/>
    </row>
    <row r="375" spans="10:10" x14ac:dyDescent="0.25">
      <c r="J375" s="42"/>
    </row>
    <row r="376" spans="10:10" x14ac:dyDescent="0.25">
      <c r="J376" s="42"/>
    </row>
    <row r="377" spans="10:10" x14ac:dyDescent="0.25">
      <c r="J377" s="42"/>
    </row>
    <row r="378" spans="10:10" x14ac:dyDescent="0.25">
      <c r="J378" s="42"/>
    </row>
    <row r="379" spans="10:10" x14ac:dyDescent="0.25">
      <c r="J379" s="42"/>
    </row>
    <row r="380" spans="10:10" x14ac:dyDescent="0.25">
      <c r="J380" s="42"/>
    </row>
    <row r="381" spans="10:10" x14ac:dyDescent="0.25">
      <c r="J381" s="42"/>
    </row>
    <row r="382" spans="10:10" x14ac:dyDescent="0.25">
      <c r="J382" s="42"/>
    </row>
    <row r="383" spans="10:10" x14ac:dyDescent="0.25">
      <c r="J383" s="42"/>
    </row>
    <row r="384" spans="10:10" x14ac:dyDescent="0.25">
      <c r="J384" s="42"/>
    </row>
    <row r="385" spans="10:10" x14ac:dyDescent="0.25">
      <c r="J385" s="42"/>
    </row>
    <row r="386" spans="10:10" x14ac:dyDescent="0.25">
      <c r="J386" s="42"/>
    </row>
    <row r="387" spans="10:10" x14ac:dyDescent="0.25">
      <c r="J387" s="42"/>
    </row>
    <row r="388" spans="10:10" x14ac:dyDescent="0.25">
      <c r="J388" s="42"/>
    </row>
    <row r="389" spans="10:10" x14ac:dyDescent="0.25">
      <c r="J389" s="42"/>
    </row>
    <row r="390" spans="10:10" x14ac:dyDescent="0.25">
      <c r="J390" s="42"/>
    </row>
    <row r="391" spans="10:10" x14ac:dyDescent="0.25">
      <c r="J391" s="42"/>
    </row>
    <row r="392" spans="10:10" x14ac:dyDescent="0.25">
      <c r="J392" s="42"/>
    </row>
    <row r="393" spans="10:10" x14ac:dyDescent="0.25">
      <c r="J393" s="42"/>
    </row>
    <row r="394" spans="10:10" x14ac:dyDescent="0.25">
      <c r="J394" s="42"/>
    </row>
    <row r="395" spans="10:10" x14ac:dyDescent="0.25">
      <c r="J395" s="42"/>
    </row>
    <row r="396" spans="10:10" x14ac:dyDescent="0.25">
      <c r="J396" s="42"/>
    </row>
    <row r="397" spans="10:10" x14ac:dyDescent="0.25">
      <c r="J397" s="42"/>
    </row>
    <row r="398" spans="10:10" x14ac:dyDescent="0.25">
      <c r="J398" s="42"/>
    </row>
    <row r="399" spans="10:10" x14ac:dyDescent="0.25">
      <c r="J399" s="42"/>
    </row>
    <row r="400" spans="10:10" x14ac:dyDescent="0.25">
      <c r="J400" s="42"/>
    </row>
    <row r="401" spans="10:10" x14ac:dyDescent="0.25">
      <c r="J401" s="42"/>
    </row>
    <row r="402" spans="10:10" x14ac:dyDescent="0.25">
      <c r="J402" s="42"/>
    </row>
    <row r="403" spans="10:10" x14ac:dyDescent="0.25">
      <c r="J403" s="42"/>
    </row>
    <row r="404" spans="10:10" x14ac:dyDescent="0.25">
      <c r="J404" s="42"/>
    </row>
    <row r="405" spans="10:10" x14ac:dyDescent="0.25">
      <c r="J405" s="42"/>
    </row>
    <row r="406" spans="10:10" x14ac:dyDescent="0.25">
      <c r="J406" s="42"/>
    </row>
    <row r="407" spans="10:10" x14ac:dyDescent="0.25">
      <c r="J407" s="42"/>
    </row>
    <row r="408" spans="10:10" x14ac:dyDescent="0.25">
      <c r="J408" s="42"/>
    </row>
    <row r="409" spans="10:10" x14ac:dyDescent="0.25">
      <c r="J409" s="42"/>
    </row>
    <row r="410" spans="10:10" x14ac:dyDescent="0.25">
      <c r="J410" s="42"/>
    </row>
    <row r="411" spans="10:10" x14ac:dyDescent="0.25">
      <c r="J411" s="42"/>
    </row>
    <row r="412" spans="10:10" x14ac:dyDescent="0.25">
      <c r="J412" s="42"/>
    </row>
    <row r="413" spans="10:10" x14ac:dyDescent="0.25">
      <c r="J413" s="42"/>
    </row>
    <row r="414" spans="10:10" x14ac:dyDescent="0.25">
      <c r="J414" s="42"/>
    </row>
    <row r="415" spans="10:10" x14ac:dyDescent="0.25">
      <c r="J415" s="42"/>
    </row>
    <row r="416" spans="10:10" x14ac:dyDescent="0.25">
      <c r="J416" s="42"/>
    </row>
    <row r="417" spans="10:10" ht="17.25" customHeight="1" x14ac:dyDescent="0.25">
      <c r="J417" s="42"/>
    </row>
    <row r="418" spans="10:10" x14ac:dyDescent="0.25">
      <c r="J418" s="42"/>
    </row>
    <row r="419" spans="10:10" x14ac:dyDescent="0.25">
      <c r="J419" s="42"/>
    </row>
    <row r="420" spans="10:10" x14ac:dyDescent="0.25">
      <c r="J420" s="42"/>
    </row>
    <row r="421" spans="10:10" x14ac:dyDescent="0.25">
      <c r="J421" s="42"/>
    </row>
    <row r="422" spans="10:10" x14ac:dyDescent="0.25">
      <c r="J422" s="42"/>
    </row>
    <row r="423" spans="10:10" x14ac:dyDescent="0.25">
      <c r="J423" s="42"/>
    </row>
    <row r="424" spans="10:10" x14ac:dyDescent="0.25">
      <c r="J424" s="42"/>
    </row>
    <row r="425" spans="10:10" x14ac:dyDescent="0.25">
      <c r="J425" s="42"/>
    </row>
    <row r="426" spans="10:10" x14ac:dyDescent="0.25">
      <c r="J426" s="42"/>
    </row>
    <row r="427" spans="10:10" x14ac:dyDescent="0.25">
      <c r="J427" s="42"/>
    </row>
    <row r="428" spans="10:10" x14ac:dyDescent="0.25">
      <c r="J428" s="42"/>
    </row>
    <row r="429" spans="10:10" x14ac:dyDescent="0.25">
      <c r="J429" s="42"/>
    </row>
    <row r="430" spans="10:10" x14ac:dyDescent="0.25">
      <c r="J430" s="42"/>
    </row>
    <row r="431" spans="10:10" x14ac:dyDescent="0.25">
      <c r="J431" s="42"/>
    </row>
    <row r="432" spans="10:10" x14ac:dyDescent="0.25">
      <c r="J432" s="42"/>
    </row>
    <row r="433" spans="10:10" x14ac:dyDescent="0.25">
      <c r="J433" s="42"/>
    </row>
    <row r="434" spans="10:10" x14ac:dyDescent="0.25">
      <c r="J434" s="42"/>
    </row>
    <row r="435" spans="10:10" x14ac:dyDescent="0.25">
      <c r="J435" s="42"/>
    </row>
    <row r="436" spans="10:10" x14ac:dyDescent="0.25">
      <c r="J436" s="42"/>
    </row>
    <row r="437" spans="10:10" x14ac:dyDescent="0.25">
      <c r="J437" s="42"/>
    </row>
    <row r="438" spans="10:10" x14ac:dyDescent="0.25">
      <c r="J438" s="42"/>
    </row>
    <row r="439" spans="10:10" x14ac:dyDescent="0.25">
      <c r="J439" s="42"/>
    </row>
    <row r="440" spans="10:10" x14ac:dyDescent="0.25">
      <c r="J440" s="42"/>
    </row>
    <row r="441" spans="10:10" x14ac:dyDescent="0.25">
      <c r="J441" s="42"/>
    </row>
    <row r="442" spans="10:10" x14ac:dyDescent="0.25">
      <c r="J442" s="42"/>
    </row>
    <row r="443" spans="10:10" x14ac:dyDescent="0.25">
      <c r="J443" s="42"/>
    </row>
    <row r="444" spans="10:10" x14ac:dyDescent="0.25">
      <c r="J444" s="42"/>
    </row>
    <row r="445" spans="10:10" x14ac:dyDescent="0.25">
      <c r="J445" s="42"/>
    </row>
    <row r="446" spans="10:10" x14ac:dyDescent="0.25">
      <c r="J446" s="42"/>
    </row>
    <row r="447" spans="10:10" x14ac:dyDescent="0.25">
      <c r="J447" s="42"/>
    </row>
    <row r="448" spans="10:10" x14ac:dyDescent="0.25">
      <c r="J448" s="42"/>
    </row>
    <row r="449" spans="10:10" x14ac:dyDescent="0.25">
      <c r="J449" s="42"/>
    </row>
    <row r="450" spans="10:10" x14ac:dyDescent="0.25">
      <c r="J450" s="42"/>
    </row>
    <row r="451" spans="10:10" x14ac:dyDescent="0.25">
      <c r="J451" s="42"/>
    </row>
    <row r="452" spans="10:10" x14ac:dyDescent="0.25">
      <c r="J452" s="42"/>
    </row>
    <row r="453" spans="10:10" x14ac:dyDescent="0.25">
      <c r="J453" s="42"/>
    </row>
    <row r="454" spans="10:10" x14ac:dyDescent="0.25">
      <c r="J454" s="42"/>
    </row>
    <row r="455" spans="10:10" x14ac:dyDescent="0.25">
      <c r="J455" s="42"/>
    </row>
    <row r="456" spans="10:10" x14ac:dyDescent="0.25">
      <c r="J456" s="42"/>
    </row>
    <row r="457" spans="10:10" x14ac:dyDescent="0.25">
      <c r="J457" s="42"/>
    </row>
    <row r="458" spans="10:10" x14ac:dyDescent="0.25">
      <c r="J458" s="42"/>
    </row>
    <row r="459" spans="10:10" x14ac:dyDescent="0.25">
      <c r="J459" s="42"/>
    </row>
    <row r="460" spans="10:10" x14ac:dyDescent="0.25">
      <c r="J460" s="42"/>
    </row>
    <row r="461" spans="10:10" x14ac:dyDescent="0.25">
      <c r="J461" s="42"/>
    </row>
    <row r="462" spans="10:10" x14ac:dyDescent="0.25">
      <c r="J462" s="42"/>
    </row>
    <row r="463" spans="10:10" x14ac:dyDescent="0.25">
      <c r="J463" s="42"/>
    </row>
    <row r="464" spans="10:10" x14ac:dyDescent="0.25">
      <c r="J464" s="42"/>
    </row>
    <row r="465" spans="10:10" x14ac:dyDescent="0.25">
      <c r="J465" s="42"/>
    </row>
    <row r="466" spans="10:10" x14ac:dyDescent="0.25">
      <c r="J466" s="42"/>
    </row>
    <row r="467" spans="10:10" x14ac:dyDescent="0.25">
      <c r="J467" s="42"/>
    </row>
    <row r="468" spans="10:10" x14ac:dyDescent="0.25">
      <c r="J468" s="42"/>
    </row>
    <row r="469" spans="10:10" x14ac:dyDescent="0.25">
      <c r="J469" s="42"/>
    </row>
    <row r="470" spans="10:10" x14ac:dyDescent="0.25">
      <c r="J470" s="42"/>
    </row>
    <row r="471" spans="10:10" x14ac:dyDescent="0.25">
      <c r="J471" s="42"/>
    </row>
    <row r="472" spans="10:10" x14ac:dyDescent="0.25">
      <c r="J472" s="42"/>
    </row>
    <row r="473" spans="10:10" x14ac:dyDescent="0.25">
      <c r="J473" s="42"/>
    </row>
    <row r="474" spans="10:10" x14ac:dyDescent="0.25">
      <c r="J474" s="42"/>
    </row>
    <row r="475" spans="10:10" x14ac:dyDescent="0.25">
      <c r="J475" s="42"/>
    </row>
    <row r="476" spans="10:10" x14ac:dyDescent="0.25">
      <c r="J476" s="42"/>
    </row>
    <row r="477" spans="10:10" x14ac:dyDescent="0.25">
      <c r="J477" s="42"/>
    </row>
    <row r="478" spans="10:10" x14ac:dyDescent="0.25">
      <c r="J478" s="42"/>
    </row>
    <row r="479" spans="10:10" x14ac:dyDescent="0.25">
      <c r="J479" s="42"/>
    </row>
    <row r="480" spans="10:10" x14ac:dyDescent="0.25">
      <c r="J480" s="42"/>
    </row>
    <row r="481" spans="10:10" x14ac:dyDescent="0.25">
      <c r="J481" s="42"/>
    </row>
    <row r="482" spans="10:10" x14ac:dyDescent="0.25">
      <c r="J482" s="42"/>
    </row>
    <row r="483" spans="10:10" x14ac:dyDescent="0.25">
      <c r="J483" s="42"/>
    </row>
    <row r="484" spans="10:10" x14ac:dyDescent="0.25">
      <c r="J484" s="42"/>
    </row>
    <row r="485" spans="10:10" x14ac:dyDescent="0.25">
      <c r="J485" s="42"/>
    </row>
    <row r="486" spans="10:10" x14ac:dyDescent="0.25">
      <c r="J486" s="42"/>
    </row>
    <row r="487" spans="10:10" x14ac:dyDescent="0.25">
      <c r="J487" s="42"/>
    </row>
    <row r="488" spans="10:10" x14ac:dyDescent="0.25">
      <c r="J488" s="42"/>
    </row>
    <row r="489" spans="10:10" x14ac:dyDescent="0.25">
      <c r="J489" s="42"/>
    </row>
    <row r="490" spans="10:10" x14ac:dyDescent="0.25">
      <c r="J490" s="42"/>
    </row>
    <row r="491" spans="10:10" x14ac:dyDescent="0.25">
      <c r="J491" s="42"/>
    </row>
    <row r="492" spans="10:10" x14ac:dyDescent="0.25">
      <c r="J492" s="42"/>
    </row>
    <row r="493" spans="10:10" x14ac:dyDescent="0.25">
      <c r="J493" s="42"/>
    </row>
    <row r="494" spans="10:10" x14ac:dyDescent="0.25">
      <c r="J494" s="42"/>
    </row>
    <row r="495" spans="10:10" x14ac:dyDescent="0.25">
      <c r="J495" s="42"/>
    </row>
    <row r="496" spans="10:10" x14ac:dyDescent="0.25">
      <c r="J496" s="42"/>
    </row>
    <row r="497" spans="10:10" x14ac:dyDescent="0.25">
      <c r="J497" s="42"/>
    </row>
    <row r="498" spans="10:10" x14ac:dyDescent="0.25">
      <c r="J498" s="42"/>
    </row>
    <row r="499" spans="10:10" x14ac:dyDescent="0.25">
      <c r="J499" s="42"/>
    </row>
    <row r="500" spans="10:10" x14ac:dyDescent="0.25">
      <c r="J500" s="42"/>
    </row>
    <row r="501" spans="10:10" x14ac:dyDescent="0.25">
      <c r="J501" s="42"/>
    </row>
    <row r="502" spans="10:10" x14ac:dyDescent="0.25">
      <c r="J502" s="42"/>
    </row>
    <row r="503" spans="10:10" x14ac:dyDescent="0.25">
      <c r="J503" s="42"/>
    </row>
    <row r="504" spans="10:10" x14ac:dyDescent="0.25">
      <c r="J504" s="42"/>
    </row>
    <row r="505" spans="10:10" x14ac:dyDescent="0.25">
      <c r="J505" s="42"/>
    </row>
    <row r="506" spans="10:10" x14ac:dyDescent="0.25">
      <c r="J506" s="42"/>
    </row>
    <row r="507" spans="10:10" x14ac:dyDescent="0.25">
      <c r="J507" s="42"/>
    </row>
    <row r="508" spans="10:10" x14ac:dyDescent="0.25">
      <c r="J508" s="42"/>
    </row>
    <row r="509" spans="10:10" x14ac:dyDescent="0.25">
      <c r="J509" s="42"/>
    </row>
    <row r="510" spans="10:10" x14ac:dyDescent="0.25">
      <c r="J510" s="42"/>
    </row>
    <row r="511" spans="10:10" x14ac:dyDescent="0.25">
      <c r="J511" s="42"/>
    </row>
    <row r="512" spans="10:10" x14ac:dyDescent="0.25">
      <c r="J512" s="42"/>
    </row>
    <row r="513" spans="10:10" x14ac:dyDescent="0.25">
      <c r="J513" s="42"/>
    </row>
    <row r="514" spans="10:10" x14ac:dyDescent="0.25">
      <c r="J514" s="42"/>
    </row>
    <row r="515" spans="10:10" x14ac:dyDescent="0.25">
      <c r="J515" s="42"/>
    </row>
    <row r="516" spans="10:10" x14ac:dyDescent="0.25">
      <c r="J516" s="42"/>
    </row>
    <row r="517" spans="10:10" x14ac:dyDescent="0.25">
      <c r="J517" s="42"/>
    </row>
    <row r="518" spans="10:10" x14ac:dyDescent="0.25">
      <c r="J518" s="42"/>
    </row>
    <row r="519" spans="10:10" x14ac:dyDescent="0.25">
      <c r="J519" s="42"/>
    </row>
    <row r="520" spans="10:10" x14ac:dyDescent="0.25">
      <c r="J520" s="42"/>
    </row>
    <row r="521" spans="10:10" x14ac:dyDescent="0.25">
      <c r="J521" s="42"/>
    </row>
    <row r="522" spans="10:10" x14ac:dyDescent="0.25">
      <c r="J522" s="42"/>
    </row>
    <row r="523" spans="10:10" x14ac:dyDescent="0.25">
      <c r="J523" s="42"/>
    </row>
    <row r="524" spans="10:10" x14ac:dyDescent="0.25">
      <c r="J524" s="42"/>
    </row>
    <row r="525" spans="10:10" x14ac:dyDescent="0.25">
      <c r="J525" s="42"/>
    </row>
    <row r="526" spans="10:10" x14ac:dyDescent="0.25">
      <c r="J526" s="42"/>
    </row>
    <row r="527" spans="10:10" x14ac:dyDescent="0.25">
      <c r="J527" s="42"/>
    </row>
    <row r="528" spans="10:10" x14ac:dyDescent="0.25">
      <c r="J528" s="42"/>
    </row>
    <row r="529" spans="10:10" x14ac:dyDescent="0.25">
      <c r="J529" s="42"/>
    </row>
    <row r="530" spans="10:10" x14ac:dyDescent="0.25">
      <c r="J530" s="42"/>
    </row>
    <row r="531" spans="10:10" x14ac:dyDescent="0.25">
      <c r="J531" s="42"/>
    </row>
    <row r="532" spans="10:10" x14ac:dyDescent="0.25">
      <c r="J532" s="42"/>
    </row>
    <row r="533" spans="10:10" x14ac:dyDescent="0.25">
      <c r="J533" s="42"/>
    </row>
    <row r="534" spans="10:10" x14ac:dyDescent="0.25">
      <c r="J534" s="42"/>
    </row>
    <row r="535" spans="10:10" x14ac:dyDescent="0.25">
      <c r="J535" s="42"/>
    </row>
    <row r="536" spans="10:10" x14ac:dyDescent="0.25">
      <c r="J536" s="42"/>
    </row>
    <row r="537" spans="10:10" x14ac:dyDescent="0.25">
      <c r="J537" s="42"/>
    </row>
    <row r="538" spans="10:10" x14ac:dyDescent="0.25">
      <c r="J538" s="42"/>
    </row>
    <row r="539" spans="10:10" x14ac:dyDescent="0.25">
      <c r="J539" s="42"/>
    </row>
    <row r="540" spans="10:10" x14ac:dyDescent="0.25">
      <c r="J540" s="42"/>
    </row>
    <row r="541" spans="10:10" x14ac:dyDescent="0.25">
      <c r="J541" s="42"/>
    </row>
    <row r="542" spans="10:10" x14ac:dyDescent="0.25">
      <c r="J542" s="42"/>
    </row>
    <row r="543" spans="10:10" x14ac:dyDescent="0.25">
      <c r="J543" s="42"/>
    </row>
    <row r="544" spans="10:10" x14ac:dyDescent="0.25">
      <c r="J544" s="42"/>
    </row>
    <row r="545" spans="10:10" x14ac:dyDescent="0.25">
      <c r="J545" s="42"/>
    </row>
    <row r="546" spans="10:10" x14ac:dyDescent="0.25">
      <c r="J546" s="42"/>
    </row>
    <row r="547" spans="10:10" x14ac:dyDescent="0.25">
      <c r="J547" s="42"/>
    </row>
    <row r="548" spans="10:10" x14ac:dyDescent="0.25">
      <c r="J548" s="42"/>
    </row>
    <row r="549" spans="10:10" x14ac:dyDescent="0.25">
      <c r="J549" s="42"/>
    </row>
    <row r="550" spans="10:10" x14ac:dyDescent="0.25">
      <c r="J550" s="42"/>
    </row>
    <row r="551" spans="10:10" x14ac:dyDescent="0.25">
      <c r="J551" s="42"/>
    </row>
    <row r="552" spans="10:10" x14ac:dyDescent="0.25">
      <c r="J552" s="42"/>
    </row>
    <row r="553" spans="10:10" x14ac:dyDescent="0.25">
      <c r="J553" s="42"/>
    </row>
    <row r="554" spans="10:10" x14ac:dyDescent="0.25">
      <c r="J554" s="42"/>
    </row>
    <row r="555" spans="10:10" x14ac:dyDescent="0.25">
      <c r="J555" s="42"/>
    </row>
    <row r="556" spans="10:10" x14ac:dyDescent="0.25">
      <c r="J556" s="42"/>
    </row>
    <row r="557" spans="10:10" x14ac:dyDescent="0.25">
      <c r="J557" s="42"/>
    </row>
    <row r="558" spans="10:10" x14ac:dyDescent="0.25">
      <c r="J558" s="42"/>
    </row>
    <row r="559" spans="10:10" x14ac:dyDescent="0.25">
      <c r="J559" s="42"/>
    </row>
    <row r="560" spans="10:10" x14ac:dyDescent="0.25">
      <c r="J560" s="42"/>
    </row>
    <row r="561" spans="10:10" x14ac:dyDescent="0.25">
      <c r="J561" s="42"/>
    </row>
    <row r="562" spans="10:10" x14ac:dyDescent="0.25">
      <c r="J562" s="42"/>
    </row>
    <row r="563" spans="10:10" x14ac:dyDescent="0.25">
      <c r="J563" s="42"/>
    </row>
    <row r="564" spans="10:10" x14ac:dyDescent="0.25">
      <c r="J564" s="42"/>
    </row>
    <row r="565" spans="10:10" x14ac:dyDescent="0.25">
      <c r="J565" s="42"/>
    </row>
    <row r="566" spans="10:10" x14ac:dyDescent="0.25">
      <c r="J566" s="42"/>
    </row>
    <row r="567" spans="10:10" x14ac:dyDescent="0.25">
      <c r="J567" s="42"/>
    </row>
    <row r="568" spans="10:10" x14ac:dyDescent="0.25">
      <c r="J568" s="42"/>
    </row>
    <row r="569" spans="10:10" x14ac:dyDescent="0.25">
      <c r="J569" s="42"/>
    </row>
    <row r="570" spans="10:10" x14ac:dyDescent="0.25">
      <c r="J570" s="42"/>
    </row>
    <row r="571" spans="10:10" x14ac:dyDescent="0.25">
      <c r="J571" s="42"/>
    </row>
    <row r="572" spans="10:10" x14ac:dyDescent="0.25">
      <c r="J572" s="42"/>
    </row>
    <row r="573" spans="10:10" x14ac:dyDescent="0.25">
      <c r="J573" s="42"/>
    </row>
    <row r="574" spans="10:10" x14ac:dyDescent="0.25">
      <c r="J574" s="42"/>
    </row>
    <row r="575" spans="10:10" x14ac:dyDescent="0.25">
      <c r="J575" s="42"/>
    </row>
    <row r="576" spans="10:10" x14ac:dyDescent="0.25">
      <c r="J576" s="42"/>
    </row>
    <row r="577" spans="10:10" x14ac:dyDescent="0.25">
      <c r="J577" s="42"/>
    </row>
    <row r="578" spans="10:10" x14ac:dyDescent="0.25">
      <c r="J578" s="42"/>
    </row>
    <row r="579" spans="10:10" x14ac:dyDescent="0.25">
      <c r="J579" s="42"/>
    </row>
    <row r="580" spans="10:10" x14ac:dyDescent="0.25">
      <c r="J580" s="42"/>
    </row>
    <row r="581" spans="10:10" x14ac:dyDescent="0.25">
      <c r="J581" s="42"/>
    </row>
    <row r="582" spans="10:10" x14ac:dyDescent="0.25">
      <c r="J582" s="42"/>
    </row>
    <row r="583" spans="10:10" x14ac:dyDescent="0.25">
      <c r="J583" s="42"/>
    </row>
    <row r="584" spans="10:10" x14ac:dyDescent="0.25">
      <c r="J584" s="42"/>
    </row>
    <row r="585" spans="10:10" x14ac:dyDescent="0.25">
      <c r="J585" s="42"/>
    </row>
    <row r="586" spans="10:10" x14ac:dyDescent="0.25">
      <c r="J586" s="42"/>
    </row>
    <row r="587" spans="10:10" x14ac:dyDescent="0.25">
      <c r="J587" s="42"/>
    </row>
    <row r="588" spans="10:10" x14ac:dyDescent="0.25">
      <c r="J588" s="42"/>
    </row>
    <row r="589" spans="10:10" x14ac:dyDescent="0.25">
      <c r="J589" s="42"/>
    </row>
    <row r="590" spans="10:10" x14ac:dyDescent="0.25">
      <c r="J590" s="42"/>
    </row>
    <row r="591" spans="10:10" x14ac:dyDescent="0.25">
      <c r="J591" s="42"/>
    </row>
    <row r="592" spans="10:10" x14ac:dyDescent="0.25">
      <c r="J592" s="42"/>
    </row>
    <row r="593" spans="10:10" x14ac:dyDescent="0.25">
      <c r="J593" s="42"/>
    </row>
    <row r="594" spans="10:10" x14ac:dyDescent="0.25">
      <c r="J594" s="42"/>
    </row>
    <row r="595" spans="10:10" x14ac:dyDescent="0.25">
      <c r="J595" s="42"/>
    </row>
    <row r="596" spans="10:10" x14ac:dyDescent="0.25">
      <c r="J596" s="42"/>
    </row>
    <row r="597" spans="10:10" x14ac:dyDescent="0.25">
      <c r="J597" s="42"/>
    </row>
    <row r="598" spans="10:10" x14ac:dyDescent="0.25">
      <c r="J598" s="42"/>
    </row>
    <row r="599" spans="10:10" x14ac:dyDescent="0.25">
      <c r="J599" s="42"/>
    </row>
    <row r="600" spans="10:10" x14ac:dyDescent="0.25">
      <c r="J600" s="42"/>
    </row>
    <row r="601" spans="10:10" x14ac:dyDescent="0.25">
      <c r="J601" s="42"/>
    </row>
    <row r="602" spans="10:10" x14ac:dyDescent="0.25">
      <c r="J602" s="42"/>
    </row>
    <row r="603" spans="10:10" x14ac:dyDescent="0.25">
      <c r="J603" s="42"/>
    </row>
    <row r="604" spans="10:10" x14ac:dyDescent="0.25">
      <c r="J604" s="42"/>
    </row>
    <row r="605" spans="10:10" x14ac:dyDescent="0.25">
      <c r="J605" s="42"/>
    </row>
    <row r="606" spans="10:10" x14ac:dyDescent="0.25">
      <c r="J606" s="42"/>
    </row>
    <row r="607" spans="10:10" x14ac:dyDescent="0.25">
      <c r="J607" s="42"/>
    </row>
    <row r="608" spans="10:10" x14ac:dyDescent="0.25">
      <c r="J608" s="42"/>
    </row>
    <row r="609" spans="10:10" x14ac:dyDescent="0.25">
      <c r="J609" s="42"/>
    </row>
    <row r="610" spans="10:10" x14ac:dyDescent="0.25">
      <c r="J610" s="42"/>
    </row>
    <row r="611" spans="10:10" x14ac:dyDescent="0.25">
      <c r="J611" s="42"/>
    </row>
    <row r="612" spans="10:10" x14ac:dyDescent="0.25">
      <c r="J612" s="42"/>
    </row>
    <row r="613" spans="10:10" x14ac:dyDescent="0.25">
      <c r="J613" s="42"/>
    </row>
    <row r="614" spans="10:10" x14ac:dyDescent="0.25">
      <c r="J614" s="42"/>
    </row>
    <row r="615" spans="10:10" x14ac:dyDescent="0.25">
      <c r="J615" s="42"/>
    </row>
    <row r="616" spans="10:10" x14ac:dyDescent="0.25">
      <c r="J616" s="42"/>
    </row>
    <row r="617" spans="10:10" x14ac:dyDescent="0.25">
      <c r="J617" s="42"/>
    </row>
    <row r="618" spans="10:10" x14ac:dyDescent="0.25">
      <c r="J618" s="42"/>
    </row>
    <row r="619" spans="10:10" x14ac:dyDescent="0.25">
      <c r="J619" s="42"/>
    </row>
    <row r="620" spans="10:10" x14ac:dyDescent="0.25">
      <c r="J620" s="42"/>
    </row>
    <row r="621" spans="10:10" x14ac:dyDescent="0.25">
      <c r="J621" s="42"/>
    </row>
    <row r="622" spans="10:10" x14ac:dyDescent="0.25">
      <c r="J622" s="42"/>
    </row>
    <row r="623" spans="10:10" x14ac:dyDescent="0.25">
      <c r="J623" s="42"/>
    </row>
    <row r="624" spans="10:10" x14ac:dyDescent="0.25">
      <c r="J624" s="42"/>
    </row>
    <row r="625" spans="10:10" x14ac:dyDescent="0.25">
      <c r="J625" s="42"/>
    </row>
    <row r="626" spans="10:10" x14ac:dyDescent="0.25">
      <c r="J626" s="42"/>
    </row>
    <row r="627" spans="10:10" x14ac:dyDescent="0.25">
      <c r="J627" s="42"/>
    </row>
    <row r="628" spans="10:10" x14ac:dyDescent="0.25">
      <c r="J628" s="42"/>
    </row>
    <row r="629" spans="10:10" x14ac:dyDescent="0.25">
      <c r="J629" s="42"/>
    </row>
    <row r="630" spans="10:10" x14ac:dyDescent="0.25">
      <c r="J630" s="42"/>
    </row>
    <row r="631" spans="10:10" x14ac:dyDescent="0.25">
      <c r="J631" s="42"/>
    </row>
    <row r="632" spans="10:10" x14ac:dyDescent="0.25">
      <c r="J632" s="42"/>
    </row>
    <row r="633" spans="10:10" x14ac:dyDescent="0.25">
      <c r="J633" s="42"/>
    </row>
    <row r="634" spans="10:10" x14ac:dyDescent="0.25">
      <c r="J634" s="42"/>
    </row>
    <row r="635" spans="10:10" x14ac:dyDescent="0.25">
      <c r="J635" s="42"/>
    </row>
    <row r="636" spans="10:10" x14ac:dyDescent="0.25">
      <c r="J636" s="42"/>
    </row>
    <row r="637" spans="10:10" x14ac:dyDescent="0.25">
      <c r="J637" s="42"/>
    </row>
    <row r="638" spans="10:10" x14ac:dyDescent="0.25">
      <c r="J638" s="42"/>
    </row>
    <row r="639" spans="10:10" x14ac:dyDescent="0.25">
      <c r="J639" s="42"/>
    </row>
    <row r="640" spans="10:10" x14ac:dyDescent="0.25">
      <c r="J640" s="42"/>
    </row>
    <row r="641" spans="10:10" x14ac:dyDescent="0.25">
      <c r="J641" s="42"/>
    </row>
    <row r="642" spans="10:10" x14ac:dyDescent="0.25">
      <c r="J642" s="42"/>
    </row>
    <row r="643" spans="10:10" x14ac:dyDescent="0.25">
      <c r="J643" s="42"/>
    </row>
    <row r="644" spans="10:10" x14ac:dyDescent="0.25">
      <c r="J644" s="42"/>
    </row>
    <row r="645" spans="10:10" x14ac:dyDescent="0.25">
      <c r="J645" s="42"/>
    </row>
    <row r="646" spans="10:10" x14ac:dyDescent="0.25">
      <c r="J646" s="42"/>
    </row>
    <row r="647" spans="10:10" x14ac:dyDescent="0.25">
      <c r="J647" s="42"/>
    </row>
    <row r="648" spans="10:10" x14ac:dyDescent="0.25">
      <c r="J648" s="42"/>
    </row>
    <row r="649" spans="10:10" x14ac:dyDescent="0.25">
      <c r="J649" s="42"/>
    </row>
    <row r="650" spans="10:10" x14ac:dyDescent="0.25">
      <c r="J650" s="42"/>
    </row>
    <row r="651" spans="10:10" x14ac:dyDescent="0.25">
      <c r="J651" s="42"/>
    </row>
    <row r="652" spans="10:10" x14ac:dyDescent="0.25">
      <c r="J652" s="42"/>
    </row>
    <row r="653" spans="10:10" x14ac:dyDescent="0.25">
      <c r="J653" s="42"/>
    </row>
    <row r="654" spans="10:10" x14ac:dyDescent="0.25">
      <c r="J654" s="42"/>
    </row>
    <row r="655" spans="10:10" x14ac:dyDescent="0.25">
      <c r="J655" s="42"/>
    </row>
    <row r="656" spans="10:10" x14ac:dyDescent="0.25">
      <c r="J656" s="42"/>
    </row>
    <row r="657" spans="10:10" x14ac:dyDescent="0.25">
      <c r="J657" s="42"/>
    </row>
    <row r="658" spans="10:10" x14ac:dyDescent="0.25">
      <c r="J658" s="42"/>
    </row>
    <row r="659" spans="10:10" x14ac:dyDescent="0.25">
      <c r="J659" s="42"/>
    </row>
    <row r="660" spans="10:10" x14ac:dyDescent="0.25">
      <c r="J660" s="42"/>
    </row>
    <row r="661" spans="10:10" x14ac:dyDescent="0.25">
      <c r="J661" s="42"/>
    </row>
    <row r="662" spans="10:10" x14ac:dyDescent="0.25">
      <c r="J662" s="42"/>
    </row>
    <row r="663" spans="10:10" x14ac:dyDescent="0.25">
      <c r="J663" s="42"/>
    </row>
    <row r="664" spans="10:10" x14ac:dyDescent="0.25">
      <c r="J664" s="42"/>
    </row>
    <row r="665" spans="10:10" x14ac:dyDescent="0.25">
      <c r="J665" s="42"/>
    </row>
    <row r="666" spans="10:10" x14ac:dyDescent="0.25">
      <c r="J666" s="42"/>
    </row>
    <row r="667" spans="10:10" x14ac:dyDescent="0.25">
      <c r="J667" s="42"/>
    </row>
    <row r="668" spans="10:10" x14ac:dyDescent="0.25">
      <c r="J668" s="42"/>
    </row>
    <row r="669" spans="10:10" x14ac:dyDescent="0.25">
      <c r="J669" s="42"/>
    </row>
    <row r="670" spans="10:10" x14ac:dyDescent="0.25">
      <c r="J670" s="42"/>
    </row>
    <row r="671" spans="10:10" x14ac:dyDescent="0.25">
      <c r="J671" s="42"/>
    </row>
    <row r="672" spans="10:10" x14ac:dyDescent="0.25">
      <c r="J672" s="42"/>
    </row>
    <row r="673" spans="10:10" x14ac:dyDescent="0.25">
      <c r="J673" s="42"/>
    </row>
    <row r="674" spans="10:10" x14ac:dyDescent="0.25">
      <c r="J674" s="42"/>
    </row>
    <row r="675" spans="10:10" x14ac:dyDescent="0.25">
      <c r="J675" s="42"/>
    </row>
    <row r="676" spans="10:10" x14ac:dyDescent="0.25">
      <c r="J676" s="42"/>
    </row>
    <row r="677" spans="10:10" x14ac:dyDescent="0.25">
      <c r="J677" s="42"/>
    </row>
    <row r="678" spans="10:10" x14ac:dyDescent="0.25">
      <c r="J678" s="42"/>
    </row>
    <row r="679" spans="10:10" x14ac:dyDescent="0.25">
      <c r="J679" s="42"/>
    </row>
    <row r="680" spans="10:10" x14ac:dyDescent="0.25">
      <c r="J680" s="42"/>
    </row>
    <row r="681" spans="10:10" x14ac:dyDescent="0.25">
      <c r="J681" s="42"/>
    </row>
    <row r="682" spans="10:10" x14ac:dyDescent="0.25">
      <c r="J682" s="42"/>
    </row>
    <row r="683" spans="10:10" x14ac:dyDescent="0.25">
      <c r="J683" s="42"/>
    </row>
    <row r="684" spans="10:10" x14ac:dyDescent="0.25">
      <c r="J684" s="42"/>
    </row>
    <row r="685" spans="10:10" x14ac:dyDescent="0.25">
      <c r="J685" s="42"/>
    </row>
    <row r="686" spans="10:10" x14ac:dyDescent="0.25">
      <c r="J686" s="42"/>
    </row>
    <row r="687" spans="10:10" x14ac:dyDescent="0.25">
      <c r="J687" s="42"/>
    </row>
    <row r="688" spans="10:10" x14ac:dyDescent="0.25">
      <c r="J688" s="42"/>
    </row>
    <row r="689" spans="10:10" x14ac:dyDescent="0.25">
      <c r="J689" s="42"/>
    </row>
    <row r="690" spans="10:10" x14ac:dyDescent="0.25">
      <c r="J690" s="42"/>
    </row>
    <row r="691" spans="10:10" x14ac:dyDescent="0.25">
      <c r="J691" s="42"/>
    </row>
    <row r="692" spans="10:10" x14ac:dyDescent="0.25">
      <c r="J692" s="42"/>
    </row>
    <row r="693" spans="10:10" x14ac:dyDescent="0.25">
      <c r="J693" s="42"/>
    </row>
    <row r="694" spans="10:10" x14ac:dyDescent="0.25">
      <c r="J694" s="42"/>
    </row>
    <row r="695" spans="10:10" x14ac:dyDescent="0.25">
      <c r="J695" s="42"/>
    </row>
    <row r="696" spans="10:10" x14ac:dyDescent="0.25">
      <c r="J696" s="42"/>
    </row>
    <row r="697" spans="10:10" x14ac:dyDescent="0.25">
      <c r="J697" s="42"/>
    </row>
    <row r="698" spans="10:10" x14ac:dyDescent="0.25">
      <c r="J698" s="42"/>
    </row>
    <row r="699" spans="10:10" x14ac:dyDescent="0.25">
      <c r="J699" s="42"/>
    </row>
    <row r="700" spans="10:10" x14ac:dyDescent="0.25">
      <c r="J700" s="42"/>
    </row>
    <row r="701" spans="10:10" x14ac:dyDescent="0.25">
      <c r="J701" s="42"/>
    </row>
    <row r="702" spans="10:10" x14ac:dyDescent="0.25">
      <c r="J702" s="42"/>
    </row>
    <row r="703" spans="10:10" x14ac:dyDescent="0.25">
      <c r="J703" s="42"/>
    </row>
    <row r="704" spans="10:10" x14ac:dyDescent="0.25">
      <c r="J704" s="42"/>
    </row>
    <row r="705" spans="10:10" x14ac:dyDescent="0.25">
      <c r="J705" s="42"/>
    </row>
    <row r="706" spans="10:10" x14ac:dyDescent="0.25">
      <c r="J706" s="42"/>
    </row>
    <row r="707" spans="10:10" x14ac:dyDescent="0.25">
      <c r="J707" s="42"/>
    </row>
    <row r="708" spans="10:10" x14ac:dyDescent="0.25">
      <c r="J708" s="42"/>
    </row>
    <row r="709" spans="10:10" x14ac:dyDescent="0.25">
      <c r="J709" s="42"/>
    </row>
    <row r="710" spans="10:10" x14ac:dyDescent="0.25">
      <c r="J710" s="42"/>
    </row>
  </sheetData>
  <mergeCells count="159"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workbookViewId="0">
      <selection activeCell="F36" sqref="F36"/>
    </sheetView>
  </sheetViews>
  <sheetFormatPr defaultRowHeight="15" x14ac:dyDescent="0.25"/>
  <sheetData>
    <row r="1" spans="1:11" x14ac:dyDescent="0.2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2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2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2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2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2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2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2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2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2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55"/>
  <sheetViews>
    <sheetView tabSelected="1" topLeftCell="A58" zoomScale="115" zoomScaleNormal="115" workbookViewId="0">
      <selection activeCell="G70" sqref="G70"/>
    </sheetView>
  </sheetViews>
  <sheetFormatPr defaultColWidth="8.7109375" defaultRowHeight="15" x14ac:dyDescent="0.25"/>
  <cols>
    <col min="1" max="1" width="8.7109375" style="169"/>
    <col min="2" max="2" width="24.140625" style="169" bestFit="1" customWidth="1"/>
    <col min="3" max="16384" width="8.7109375" style="169"/>
  </cols>
  <sheetData>
    <row r="3" spans="1:15" x14ac:dyDescent="0.2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2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.75" thickBot="1" x14ac:dyDescent="0.3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6.5" thickTop="1" thickBot="1" x14ac:dyDescent="0.3">
      <c r="A6" s="378" t="s">
        <v>0</v>
      </c>
      <c r="B6" s="421" t="s">
        <v>1</v>
      </c>
      <c r="C6" s="395" t="s">
        <v>2</v>
      </c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7"/>
      <c r="O6" s="42"/>
    </row>
    <row r="7" spans="1:15" ht="16.5" thickTop="1" thickBot="1" x14ac:dyDescent="0.3">
      <c r="A7" s="358"/>
      <c r="B7" s="423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6.5" thickTop="1" thickBot="1" x14ac:dyDescent="0.3">
      <c r="A8" s="359"/>
      <c r="B8" s="79" t="s">
        <v>3</v>
      </c>
      <c r="C8" s="424" t="s">
        <v>165</v>
      </c>
      <c r="D8" s="425"/>
      <c r="E8" s="425"/>
      <c r="F8" s="425"/>
      <c r="G8" s="425"/>
      <c r="H8" s="425"/>
      <c r="I8" s="426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6.5" thickTop="1" thickBot="1" x14ac:dyDescent="0.3">
      <c r="A9" s="418" t="s">
        <v>8</v>
      </c>
      <c r="B9" s="419"/>
      <c r="C9" s="419"/>
      <c r="D9" s="419"/>
      <c r="E9" s="419"/>
      <c r="F9" s="419"/>
      <c r="G9" s="419"/>
      <c r="H9" s="419"/>
      <c r="I9" s="419"/>
      <c r="J9" s="419"/>
      <c r="K9" s="419"/>
      <c r="L9" s="419"/>
      <c r="M9" s="419"/>
      <c r="N9" s="420"/>
      <c r="O9" s="42"/>
    </row>
    <row r="10" spans="1:15" ht="31.5" thickTop="1" thickBot="1" x14ac:dyDescent="0.3">
      <c r="A10" s="175">
        <v>1</v>
      </c>
      <c r="B10" s="66" t="s">
        <v>9</v>
      </c>
      <c r="C10" s="427">
        <v>100</v>
      </c>
      <c r="D10" s="428"/>
      <c r="E10" s="428"/>
      <c r="F10" s="428"/>
      <c r="G10" s="428"/>
      <c r="H10" s="428"/>
      <c r="I10" s="428"/>
      <c r="J10" s="428"/>
      <c r="K10" s="428"/>
      <c r="L10" s="428"/>
      <c r="M10" s="428"/>
      <c r="N10" s="429"/>
      <c r="O10" s="42"/>
    </row>
    <row r="11" spans="1:15" ht="15.75" thickBot="1" x14ac:dyDescent="0.3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.75" thickBot="1" x14ac:dyDescent="0.3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x14ac:dyDescent="0.25">
      <c r="A13" s="416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.75" thickBot="1" x14ac:dyDescent="0.3">
      <c r="A14" s="417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30.75" thickBot="1" x14ac:dyDescent="0.3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30.75" thickBot="1" x14ac:dyDescent="0.3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6.5" thickTop="1" thickBot="1" x14ac:dyDescent="0.3">
      <c r="A17" s="418" t="s">
        <v>16</v>
      </c>
      <c r="B17" s="419"/>
      <c r="C17" s="419"/>
      <c r="D17" s="419"/>
      <c r="E17" s="419"/>
      <c r="F17" s="419"/>
      <c r="G17" s="419"/>
      <c r="H17" s="419"/>
      <c r="I17" s="419"/>
      <c r="J17" s="419"/>
      <c r="K17" s="419"/>
      <c r="L17" s="419"/>
      <c r="M17" s="419"/>
      <c r="N17" s="420"/>
      <c r="O17" s="42"/>
    </row>
    <row r="18" spans="1:15" ht="31.5" thickTop="1" thickBot="1" x14ac:dyDescent="0.3">
      <c r="A18" s="421">
        <v>7</v>
      </c>
      <c r="B18" s="66" t="s">
        <v>110</v>
      </c>
      <c r="C18" s="379"/>
      <c r="D18" s="380"/>
      <c r="E18" s="380"/>
      <c r="F18" s="380"/>
      <c r="G18" s="380"/>
      <c r="H18" s="380"/>
      <c r="I18" s="380"/>
      <c r="J18" s="380"/>
      <c r="K18" s="380"/>
      <c r="L18" s="380"/>
      <c r="M18" s="380"/>
      <c r="N18" s="381"/>
      <c r="O18" s="42"/>
    </row>
    <row r="19" spans="1:15" ht="15.75" thickBot="1" x14ac:dyDescent="0.3">
      <c r="A19" s="422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.75" thickBot="1" x14ac:dyDescent="0.3">
      <c r="A20" s="422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.75" thickBot="1" x14ac:dyDescent="0.3">
      <c r="A21" s="422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.75" thickBot="1" x14ac:dyDescent="0.3">
      <c r="A22" s="422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.75" thickBot="1" x14ac:dyDescent="0.3">
      <c r="A23" s="422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.75" thickBot="1" x14ac:dyDescent="0.3">
      <c r="A24" s="351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.75" thickBot="1" x14ac:dyDescent="0.3">
      <c r="A25" s="350">
        <v>8</v>
      </c>
      <c r="B25" s="66" t="s">
        <v>24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1"/>
      <c r="N25" s="362"/>
      <c r="O25" s="42"/>
    </row>
    <row r="26" spans="1:15" ht="15.75" thickBot="1" x14ac:dyDescent="0.3">
      <c r="A26" s="422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.75" thickBot="1" x14ac:dyDescent="0.3">
      <c r="A27" s="422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.75" thickBot="1" x14ac:dyDescent="0.3">
      <c r="A28" s="351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.75" thickBot="1" x14ac:dyDescent="0.3">
      <c r="A29" s="350">
        <v>9</v>
      </c>
      <c r="B29" s="66" t="s">
        <v>28</v>
      </c>
      <c r="C29" s="360"/>
      <c r="D29" s="361"/>
      <c r="E29" s="361"/>
      <c r="F29" s="361"/>
      <c r="G29" s="361"/>
      <c r="H29" s="361"/>
      <c r="I29" s="361"/>
      <c r="J29" s="361"/>
      <c r="K29" s="361"/>
      <c r="L29" s="361"/>
      <c r="M29" s="361"/>
      <c r="N29" s="362"/>
      <c r="O29" s="42"/>
    </row>
    <row r="30" spans="1:15" ht="15.75" thickBot="1" x14ac:dyDescent="0.3">
      <c r="A30" s="422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.75" thickBot="1" x14ac:dyDescent="0.3">
      <c r="A31" s="422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.75" thickBot="1" x14ac:dyDescent="0.3">
      <c r="A32" s="423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6.5" thickTop="1" thickBot="1" x14ac:dyDescent="0.3">
      <c r="A33" s="430" t="s">
        <v>29</v>
      </c>
      <c r="B33" s="431"/>
      <c r="C33" s="431"/>
      <c r="D33" s="431"/>
      <c r="E33" s="431"/>
      <c r="F33" s="431"/>
      <c r="G33" s="431"/>
      <c r="H33" s="431"/>
      <c r="I33" s="431"/>
      <c r="J33" s="431"/>
      <c r="K33" s="431"/>
      <c r="L33" s="431"/>
      <c r="M33" s="431"/>
      <c r="N33" s="432"/>
      <c r="O33" s="42"/>
    </row>
    <row r="34" spans="1:27" ht="31.5" thickTop="1" thickBot="1" x14ac:dyDescent="0.3">
      <c r="A34" s="378">
        <v>10</v>
      </c>
      <c r="B34" s="66" t="s">
        <v>30</v>
      </c>
      <c r="C34" s="366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8"/>
      <c r="O34" s="42"/>
    </row>
    <row r="35" spans="1:27" ht="15.75" thickBot="1" x14ac:dyDescent="0.3">
      <c r="A35" s="358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.75" thickBot="1" x14ac:dyDescent="0.3">
      <c r="A36" s="358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.75" thickBot="1" x14ac:dyDescent="0.3">
      <c r="A37" s="353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30.75" thickBot="1" x14ac:dyDescent="0.3">
      <c r="A38" s="352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.75" thickBot="1" x14ac:dyDescent="0.3">
      <c r="A39" s="358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.75" thickBot="1" x14ac:dyDescent="0.3">
      <c r="A40" s="358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.75" thickBot="1" x14ac:dyDescent="0.3">
      <c r="A41" s="353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.75" thickBot="1" x14ac:dyDescent="0.3">
      <c r="A42" s="352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.75" thickBot="1" x14ac:dyDescent="0.3">
      <c r="A43" s="358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.75" thickBot="1" x14ac:dyDescent="0.3">
      <c r="A44" s="358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.75" thickBot="1" x14ac:dyDescent="0.3">
      <c r="A45" s="353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.75" thickBot="1" x14ac:dyDescent="0.3">
      <c r="A46" s="352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.75" thickBot="1" x14ac:dyDescent="0.3">
      <c r="A47" s="358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.75" thickBot="1" x14ac:dyDescent="0.3">
      <c r="A48" s="358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.75" thickBot="1" x14ac:dyDescent="0.3">
      <c r="A49" s="353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.75" thickBot="1" x14ac:dyDescent="0.3">
      <c r="A50" s="352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.75" thickBot="1" x14ac:dyDescent="0.3">
      <c r="A51" s="358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.75" thickBot="1" x14ac:dyDescent="0.3">
      <c r="A52" s="358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.75" thickBot="1" x14ac:dyDescent="0.3">
      <c r="A53" s="353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.75" thickBot="1" x14ac:dyDescent="0.3">
      <c r="A54" s="352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.75" thickBot="1" x14ac:dyDescent="0.3">
      <c r="A55" s="358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.75" thickBot="1" x14ac:dyDescent="0.3">
      <c r="A56" s="358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30.75" thickBot="1" x14ac:dyDescent="0.3">
      <c r="A57" s="358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30.75" thickBot="1" x14ac:dyDescent="0.3">
      <c r="A58" s="358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.75" thickBot="1" x14ac:dyDescent="0.3">
      <c r="A59" s="358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.75" thickBot="1" x14ac:dyDescent="0.3">
      <c r="A60" s="358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30.75" thickBot="1" x14ac:dyDescent="0.3">
      <c r="A61" s="358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30.75" thickBot="1" x14ac:dyDescent="0.3">
      <c r="A62" s="359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7.25" thickTop="1" thickBot="1" x14ac:dyDescent="0.3">
      <c r="A63" s="295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.5" thickBot="1" x14ac:dyDescent="0.3">
      <c r="A64" s="314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7.25" thickTop="1" thickBot="1" x14ac:dyDescent="0.3">
      <c r="A65" s="314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48" thickBot="1" x14ac:dyDescent="0.3">
      <c r="A66" s="294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7.25" thickTop="1" thickBot="1" x14ac:dyDescent="0.3">
      <c r="A67" s="302" t="s">
        <v>63</v>
      </c>
      <c r="B67" s="303"/>
      <c r="C67" s="303"/>
      <c r="D67" s="303"/>
      <c r="E67" s="303"/>
      <c r="F67" s="303"/>
      <c r="G67" s="303"/>
      <c r="H67" s="303"/>
      <c r="I67" s="303"/>
      <c r="J67" s="303"/>
      <c r="K67" s="303"/>
      <c r="L67" s="303"/>
      <c r="M67" s="303"/>
      <c r="N67" s="304"/>
      <c r="O67" s="42"/>
    </row>
    <row r="68" spans="1:15" ht="17.25" thickTop="1" thickBot="1" x14ac:dyDescent="0.3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3" thickTop="1" thickBot="1" x14ac:dyDescent="0.3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2.25" thickBot="1" x14ac:dyDescent="0.3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3" thickTop="1" thickBot="1" x14ac:dyDescent="0.3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3" thickTop="1" thickBot="1" x14ac:dyDescent="0.3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48" thickTop="1" x14ac:dyDescent="0.25">
      <c r="A73" s="289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.5" thickBot="1" x14ac:dyDescent="0.3">
      <c r="A74" s="290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8" thickBot="1" x14ac:dyDescent="0.3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48" thickTop="1" x14ac:dyDescent="0.25">
      <c r="A76" s="289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2.25" thickBot="1" x14ac:dyDescent="0.3">
      <c r="A77" s="288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48" thickTop="1" x14ac:dyDescent="0.25">
      <c r="A78" s="289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.5" thickBot="1" x14ac:dyDescent="0.3">
      <c r="A79" s="288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2.25" thickTop="1" x14ac:dyDescent="0.25">
      <c r="A80" s="289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.5" thickBot="1" x14ac:dyDescent="0.3">
      <c r="A81" s="288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3" thickTop="1" thickBot="1" x14ac:dyDescent="0.3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2.25" thickBot="1" x14ac:dyDescent="0.3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8" thickTop="1" x14ac:dyDescent="0.25">
      <c r="A84" s="289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.5" thickBot="1" x14ac:dyDescent="0.3">
      <c r="A85" s="288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48" thickTop="1" x14ac:dyDescent="0.25">
      <c r="A86" s="289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.5" thickBot="1" x14ac:dyDescent="0.3">
      <c r="A87" s="288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48.75" thickTop="1" thickBot="1" x14ac:dyDescent="0.3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2.25" thickBot="1" x14ac:dyDescent="0.3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3" thickTop="1" thickBot="1" x14ac:dyDescent="0.3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2.25" thickBot="1" x14ac:dyDescent="0.3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7.25" thickTop="1" thickBot="1" x14ac:dyDescent="0.3">
      <c r="A92" s="302" t="s">
        <v>86</v>
      </c>
      <c r="B92" s="303"/>
      <c r="C92" s="303"/>
      <c r="D92" s="303"/>
      <c r="E92" s="303"/>
      <c r="F92" s="303"/>
      <c r="G92" s="303"/>
      <c r="H92" s="303"/>
      <c r="I92" s="303"/>
      <c r="J92" s="303"/>
      <c r="K92" s="303"/>
      <c r="L92" s="303"/>
      <c r="M92" s="303"/>
      <c r="N92" s="304"/>
      <c r="O92" s="42"/>
    </row>
    <row r="93" spans="1:15" ht="17.25" thickTop="1" thickBot="1" x14ac:dyDescent="0.3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7.25" thickTop="1" thickBot="1" x14ac:dyDescent="0.3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2.25" thickBot="1" x14ac:dyDescent="0.3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3" thickTop="1" thickBot="1" x14ac:dyDescent="0.3">
      <c r="A96" s="295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.5" thickBot="1" x14ac:dyDescent="0.3">
      <c r="A97" s="294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3" thickTop="1" thickBot="1" x14ac:dyDescent="0.3">
      <c r="A98" s="295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.5" thickBot="1" x14ac:dyDescent="0.3">
      <c r="A99" s="294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3" thickTop="1" thickBot="1" x14ac:dyDescent="0.3">
      <c r="A100" s="295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.5" thickBot="1" x14ac:dyDescent="0.3">
      <c r="A101" s="294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3" thickTop="1" thickBot="1" x14ac:dyDescent="0.3">
      <c r="A102" s="295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.5" thickBot="1" x14ac:dyDescent="0.3">
      <c r="A103" s="294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3" thickTop="1" thickBot="1" x14ac:dyDescent="0.3">
      <c r="A104" s="295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.5" thickBot="1" x14ac:dyDescent="0.3">
      <c r="A105" s="294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.25" thickTop="1" x14ac:dyDescent="0.2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48" thickBot="1" x14ac:dyDescent="0.3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2.25" thickTop="1" x14ac:dyDescent="0.25">
      <c r="A108" s="289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2.25" thickBot="1" x14ac:dyDescent="0.3">
      <c r="A109" s="290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.5" x14ac:dyDescent="0.25">
      <c r="A110" s="287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.5" thickBot="1" x14ac:dyDescent="0.3">
      <c r="A111" s="290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.5" x14ac:dyDescent="0.25">
      <c r="A112" s="287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.5" thickBot="1" x14ac:dyDescent="0.3">
      <c r="A113" s="290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.5" x14ac:dyDescent="0.25">
      <c r="A114" s="287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48" thickBot="1" x14ac:dyDescent="0.3">
      <c r="A115" s="290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2.25" thickBot="1" x14ac:dyDescent="0.3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3" thickTop="1" thickBot="1" x14ac:dyDescent="0.3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75" thickTop="1" x14ac:dyDescent="0.2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75" x14ac:dyDescent="0.2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2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.75" x14ac:dyDescent="0.2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.75" x14ac:dyDescent="0.2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.75" thickBot="1" x14ac:dyDescent="0.3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7.25" thickTop="1" thickBot="1" x14ac:dyDescent="0.3">
      <c r="A124" s="115" t="s">
        <v>105</v>
      </c>
      <c r="B124" s="289" t="s">
        <v>1</v>
      </c>
      <c r="C124" s="338" t="s">
        <v>107</v>
      </c>
      <c r="D124" s="339"/>
      <c r="E124" s="339"/>
      <c r="F124" s="339"/>
      <c r="G124" s="339"/>
      <c r="H124" s="340"/>
      <c r="I124" s="42"/>
      <c r="J124" s="43"/>
      <c r="K124" s="42"/>
      <c r="L124" s="42"/>
      <c r="M124" s="42"/>
      <c r="N124" s="42"/>
      <c r="O124" s="42"/>
    </row>
    <row r="125" spans="1:15" ht="17.25" thickTop="1" thickBot="1" x14ac:dyDescent="0.3">
      <c r="A125" s="116" t="s">
        <v>106</v>
      </c>
      <c r="B125" s="288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7.25" thickTop="1" thickBot="1" x14ac:dyDescent="0.3">
      <c r="A126" s="203"/>
      <c r="B126" s="117" t="s">
        <v>3</v>
      </c>
      <c r="C126" s="405" t="s">
        <v>165</v>
      </c>
      <c r="D126" s="406"/>
      <c r="E126" s="406"/>
      <c r="F126" s="406"/>
      <c r="G126" s="406"/>
      <c r="H126" s="407"/>
      <c r="I126" s="42"/>
      <c r="J126" s="43"/>
      <c r="K126" s="42"/>
      <c r="L126" s="42"/>
      <c r="M126" s="42"/>
      <c r="N126" s="42"/>
      <c r="O126" s="42"/>
    </row>
    <row r="127" spans="1:15" ht="17.25" thickTop="1" thickBot="1" x14ac:dyDescent="0.3">
      <c r="A127" s="302" t="s">
        <v>8</v>
      </c>
      <c r="B127" s="303"/>
      <c r="C127" s="303"/>
      <c r="D127" s="303"/>
      <c r="E127" s="303"/>
      <c r="F127" s="303"/>
      <c r="G127" s="303"/>
      <c r="H127" s="304"/>
      <c r="I127" s="42"/>
      <c r="J127" s="43"/>
      <c r="K127" s="42"/>
      <c r="L127" s="42"/>
      <c r="M127" s="42"/>
      <c r="N127" s="42"/>
      <c r="O127" s="42"/>
    </row>
    <row r="128" spans="1:15" ht="33" thickTop="1" thickBot="1" x14ac:dyDescent="0.3">
      <c r="A128" s="134">
        <v>1</v>
      </c>
      <c r="B128" s="121" t="s">
        <v>9</v>
      </c>
      <c r="C128" s="327">
        <v>75</v>
      </c>
      <c r="D128" s="328"/>
      <c r="E128" s="328"/>
      <c r="F128" s="328"/>
      <c r="G128" s="328"/>
      <c r="H128" s="329"/>
      <c r="I128" s="42"/>
      <c r="J128" s="43"/>
      <c r="K128" s="42"/>
      <c r="L128" s="42"/>
      <c r="M128" s="42"/>
      <c r="N128" s="42"/>
      <c r="O128" s="42"/>
    </row>
    <row r="129" spans="1:15" ht="17.25" thickTop="1" thickBot="1" x14ac:dyDescent="0.3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7.25" thickTop="1" thickBot="1" x14ac:dyDescent="0.3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.5" thickTop="1" x14ac:dyDescent="0.25">
      <c r="A131" s="289">
        <v>4</v>
      </c>
      <c r="B131" s="59" t="s">
        <v>12</v>
      </c>
      <c r="C131" s="412">
        <v>8.0500000000000007</v>
      </c>
      <c r="D131" s="334">
        <v>8.0500000000000007</v>
      </c>
      <c r="E131" s="334">
        <v>8.07</v>
      </c>
      <c r="F131" s="334">
        <v>7.88</v>
      </c>
      <c r="G131" s="334">
        <v>7.29</v>
      </c>
      <c r="H131" s="414">
        <v>6.57</v>
      </c>
      <c r="I131" s="42"/>
      <c r="J131" s="43"/>
      <c r="K131" s="42"/>
      <c r="L131" s="42"/>
      <c r="M131" s="42"/>
      <c r="N131" s="42"/>
      <c r="O131" s="42"/>
    </row>
    <row r="132" spans="1:15" ht="16.5" thickBot="1" x14ac:dyDescent="0.3">
      <c r="A132" s="288"/>
      <c r="B132" s="121" t="s">
        <v>13</v>
      </c>
      <c r="C132" s="413"/>
      <c r="D132" s="335"/>
      <c r="E132" s="335"/>
      <c r="F132" s="335"/>
      <c r="G132" s="335"/>
      <c r="H132" s="415"/>
      <c r="I132" s="42"/>
      <c r="J132" s="43"/>
      <c r="K132" s="42"/>
      <c r="L132" s="42"/>
      <c r="M132" s="42"/>
      <c r="N132" s="42"/>
      <c r="O132" s="42"/>
    </row>
    <row r="133" spans="1:15" ht="33" thickTop="1" thickBot="1" x14ac:dyDescent="0.3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3" thickTop="1" thickBot="1" x14ac:dyDescent="0.3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7.25" thickTop="1" thickBot="1" x14ac:dyDescent="0.3">
      <c r="A135" s="302" t="s">
        <v>16</v>
      </c>
      <c r="B135" s="303"/>
      <c r="C135" s="303"/>
      <c r="D135" s="303"/>
      <c r="E135" s="303"/>
      <c r="F135" s="303"/>
      <c r="G135" s="303"/>
      <c r="H135" s="304"/>
      <c r="I135" s="42"/>
      <c r="J135" s="43"/>
      <c r="K135" s="42"/>
      <c r="L135" s="42"/>
      <c r="M135" s="42"/>
      <c r="N135" s="42"/>
      <c r="O135" s="42"/>
    </row>
    <row r="136" spans="1:15" ht="33" thickTop="1" thickBot="1" x14ac:dyDescent="0.3">
      <c r="A136" s="289">
        <v>7</v>
      </c>
      <c r="B136" s="121" t="s">
        <v>110</v>
      </c>
      <c r="C136" s="315"/>
      <c r="D136" s="316"/>
      <c r="E136" s="316"/>
      <c r="F136" s="316"/>
      <c r="G136" s="316"/>
      <c r="H136" s="317"/>
      <c r="I136" s="42"/>
      <c r="J136" s="43"/>
      <c r="K136" s="42"/>
      <c r="L136" s="42"/>
      <c r="M136" s="42"/>
      <c r="N136" s="42"/>
      <c r="O136" s="42"/>
    </row>
    <row r="137" spans="1:15" ht="17.25" thickTop="1" thickBot="1" x14ac:dyDescent="0.3">
      <c r="A137" s="291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7.25" thickTop="1" thickBot="1" x14ac:dyDescent="0.3">
      <c r="A138" s="291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.5" thickBot="1" x14ac:dyDescent="0.3">
      <c r="A139" s="291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.5" thickBot="1" x14ac:dyDescent="0.3">
      <c r="A140" s="291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.5" thickBot="1" x14ac:dyDescent="0.3">
      <c r="A141" s="291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.5" thickBot="1" x14ac:dyDescent="0.3">
      <c r="A142" s="290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.5" thickBot="1" x14ac:dyDescent="0.3">
      <c r="A143" s="287">
        <v>8</v>
      </c>
      <c r="B143" s="123" t="s">
        <v>24</v>
      </c>
      <c r="C143" s="321"/>
      <c r="D143" s="322"/>
      <c r="E143" s="322"/>
      <c r="F143" s="322"/>
      <c r="G143" s="322"/>
      <c r="H143" s="323"/>
      <c r="I143" s="42"/>
      <c r="J143" s="43"/>
      <c r="K143" s="42"/>
      <c r="L143" s="42"/>
      <c r="M143" s="42"/>
      <c r="N143" s="42"/>
      <c r="O143" s="42"/>
    </row>
    <row r="144" spans="1:15" ht="16.5" thickBot="1" x14ac:dyDescent="0.3">
      <c r="A144" s="291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.5" thickBot="1" x14ac:dyDescent="0.3">
      <c r="A145" s="291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.5" thickBot="1" x14ac:dyDescent="0.3">
      <c r="A146" s="290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.5" thickBot="1" x14ac:dyDescent="0.3">
      <c r="A147" s="287">
        <v>9</v>
      </c>
      <c r="B147" s="123" t="s">
        <v>28</v>
      </c>
      <c r="C147" s="321"/>
      <c r="D147" s="322"/>
      <c r="E147" s="322"/>
      <c r="F147" s="322"/>
      <c r="G147" s="322"/>
      <c r="H147" s="323"/>
      <c r="I147" s="42"/>
      <c r="J147" s="43"/>
      <c r="K147" s="42"/>
      <c r="L147" s="42"/>
      <c r="M147" s="42"/>
      <c r="N147" s="42"/>
      <c r="O147" s="42"/>
    </row>
    <row r="148" spans="1:15" ht="16.5" thickBot="1" x14ac:dyDescent="0.3">
      <c r="A148" s="291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.5" thickBot="1" x14ac:dyDescent="0.3">
      <c r="A149" s="291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.5" thickBot="1" x14ac:dyDescent="0.3">
      <c r="A150" s="288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7.25" thickTop="1" thickBot="1" x14ac:dyDescent="0.3">
      <c r="A151" s="302" t="s">
        <v>29</v>
      </c>
      <c r="B151" s="303"/>
      <c r="C151" s="303"/>
      <c r="D151" s="303"/>
      <c r="E151" s="303"/>
      <c r="F151" s="303"/>
      <c r="G151" s="303"/>
      <c r="H151" s="304"/>
      <c r="I151" s="42"/>
      <c r="J151" s="43"/>
      <c r="K151" s="42"/>
      <c r="L151" s="42"/>
      <c r="M151" s="42"/>
      <c r="N151" s="42"/>
      <c r="O151" s="42"/>
    </row>
    <row r="152" spans="1:15" ht="33" thickTop="1" thickBot="1" x14ac:dyDescent="0.3">
      <c r="A152" s="295">
        <v>10</v>
      </c>
      <c r="B152" s="123" t="s">
        <v>30</v>
      </c>
      <c r="C152" s="324"/>
      <c r="D152" s="325"/>
      <c r="E152" s="325"/>
      <c r="F152" s="325"/>
      <c r="G152" s="325"/>
      <c r="H152" s="326"/>
      <c r="I152" s="42"/>
      <c r="J152" s="43"/>
      <c r="K152" s="42"/>
      <c r="L152" s="42"/>
      <c r="M152" s="42"/>
      <c r="N152" s="42"/>
      <c r="O152" s="42"/>
    </row>
    <row r="153" spans="1:15" ht="16.5" thickBot="1" x14ac:dyDescent="0.3">
      <c r="A153" s="314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.5" thickBot="1" x14ac:dyDescent="0.3">
      <c r="A154" s="314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.5" thickBot="1" x14ac:dyDescent="0.3">
      <c r="A155" s="293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2.25" thickBot="1" x14ac:dyDescent="0.3">
      <c r="A156" s="292">
        <v>11</v>
      </c>
      <c r="B156" s="123" t="s">
        <v>33</v>
      </c>
      <c r="C156" s="321"/>
      <c r="D156" s="322"/>
      <c r="E156" s="322"/>
      <c r="F156" s="322"/>
      <c r="G156" s="322"/>
      <c r="H156" s="323"/>
      <c r="I156" s="42"/>
      <c r="J156" s="43"/>
      <c r="K156" s="42"/>
      <c r="L156" s="42"/>
      <c r="M156" s="42"/>
      <c r="N156" s="42"/>
      <c r="O156" s="42"/>
    </row>
    <row r="157" spans="1:15" ht="16.5" thickBot="1" x14ac:dyDescent="0.3">
      <c r="A157" s="314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7.25" thickTop="1" thickBot="1" x14ac:dyDescent="0.3">
      <c r="A158" s="314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7.25" thickTop="1" thickBot="1" x14ac:dyDescent="0.3">
      <c r="A159" s="294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7.25" thickTop="1" thickBot="1" x14ac:dyDescent="0.3">
      <c r="A160" s="295">
        <v>12</v>
      </c>
      <c r="B160" s="121" t="s">
        <v>34</v>
      </c>
      <c r="C160" s="308"/>
      <c r="D160" s="309"/>
      <c r="E160" s="309"/>
      <c r="F160" s="309"/>
      <c r="G160" s="309"/>
      <c r="H160" s="310"/>
      <c r="I160" s="42"/>
      <c r="J160" s="43"/>
      <c r="K160" s="42"/>
      <c r="L160" s="42"/>
      <c r="M160" s="42"/>
      <c r="N160" s="42"/>
      <c r="O160" s="42"/>
    </row>
    <row r="161" spans="1:15" ht="17.25" thickTop="1" thickBot="1" x14ac:dyDescent="0.3">
      <c r="A161" s="314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7.25" thickTop="1" thickBot="1" x14ac:dyDescent="0.3">
      <c r="A162" s="314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7.25" thickTop="1" thickBot="1" x14ac:dyDescent="0.3">
      <c r="A163" s="294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7.25" thickTop="1" thickBot="1" x14ac:dyDescent="0.3">
      <c r="A164" s="295">
        <v>13</v>
      </c>
      <c r="B164" s="141" t="s">
        <v>36</v>
      </c>
      <c r="C164" s="308"/>
      <c r="D164" s="309"/>
      <c r="E164" s="309"/>
      <c r="F164" s="309"/>
      <c r="G164" s="309"/>
      <c r="H164" s="310"/>
      <c r="I164" s="42"/>
      <c r="J164" s="43"/>
      <c r="K164" s="42"/>
      <c r="L164" s="42"/>
      <c r="M164" s="42"/>
      <c r="N164" s="42"/>
      <c r="O164" s="42"/>
    </row>
    <row r="165" spans="1:15" ht="17.25" thickTop="1" thickBot="1" x14ac:dyDescent="0.3">
      <c r="A165" s="314"/>
      <c r="B165" s="123" t="s">
        <v>31</v>
      </c>
      <c r="C165" s="124">
        <v>0</v>
      </c>
      <c r="D165" s="125">
        <v>0</v>
      </c>
      <c r="E165" s="124">
        <v>0</v>
      </c>
      <c r="F165" s="124">
        <v>0</v>
      </c>
      <c r="G165" s="124">
        <v>0</v>
      </c>
      <c r="H165" s="125">
        <v>0</v>
      </c>
      <c r="I165" s="42"/>
      <c r="J165" s="43"/>
      <c r="K165" s="42"/>
      <c r="L165" s="42"/>
      <c r="M165" s="42"/>
      <c r="N165" s="42"/>
      <c r="O165" s="42"/>
    </row>
    <row r="166" spans="1:15" ht="16.5" thickBot="1" x14ac:dyDescent="0.3">
      <c r="A166" s="314"/>
      <c r="B166" s="121" t="s">
        <v>26</v>
      </c>
      <c r="C166" s="189">
        <v>0.184</v>
      </c>
      <c r="D166" s="117">
        <v>0.189</v>
      </c>
      <c r="E166" s="127">
        <v>0.19500000000000001</v>
      </c>
      <c r="F166" s="189">
        <v>0.19400000000000001</v>
      </c>
      <c r="G166" s="127">
        <v>0.188</v>
      </c>
      <c r="H166" s="117">
        <v>0.18</v>
      </c>
      <c r="I166" s="42"/>
      <c r="J166" s="43"/>
      <c r="K166" s="42"/>
      <c r="L166" s="42"/>
      <c r="M166" s="42"/>
      <c r="N166" s="42"/>
      <c r="O166" s="42"/>
    </row>
    <row r="167" spans="1:15" ht="17.25" thickTop="1" thickBot="1" x14ac:dyDescent="0.3">
      <c r="A167" s="294"/>
      <c r="B167" s="121" t="s">
        <v>27</v>
      </c>
      <c r="C167" s="189">
        <v>118.4</v>
      </c>
      <c r="D167" s="117">
        <v>119.3</v>
      </c>
      <c r="E167" s="127">
        <v>120.4</v>
      </c>
      <c r="F167" s="189">
        <v>121.1</v>
      </c>
      <c r="G167" s="127">
        <v>123.9</v>
      </c>
      <c r="H167" s="117">
        <v>129.9</v>
      </c>
      <c r="I167" s="42"/>
      <c r="J167" s="43"/>
      <c r="K167" s="42"/>
      <c r="L167" s="42"/>
      <c r="M167" s="42"/>
      <c r="N167" s="42"/>
      <c r="O167" s="42"/>
    </row>
    <row r="168" spans="1:15" ht="17.25" thickTop="1" thickBot="1" x14ac:dyDescent="0.3">
      <c r="A168" s="295">
        <v>14</v>
      </c>
      <c r="B168" s="123" t="s">
        <v>37</v>
      </c>
      <c r="C168" s="324"/>
      <c r="D168" s="325"/>
      <c r="E168" s="325"/>
      <c r="F168" s="325"/>
      <c r="G168" s="325"/>
      <c r="H168" s="326"/>
      <c r="I168" s="42"/>
      <c r="J168" s="43"/>
      <c r="K168" s="42"/>
      <c r="L168" s="42"/>
      <c r="M168" s="42"/>
      <c r="N168" s="42"/>
      <c r="O168" s="42"/>
    </row>
    <row r="169" spans="1:15" ht="16.5" thickBot="1" x14ac:dyDescent="0.3">
      <c r="A169" s="314"/>
      <c r="B169" s="121" t="s">
        <v>31</v>
      </c>
      <c r="C169" s="127">
        <v>0</v>
      </c>
      <c r="D169" s="117">
        <v>0</v>
      </c>
      <c r="E169" s="127">
        <v>0</v>
      </c>
      <c r="F169" s="127">
        <v>0</v>
      </c>
      <c r="G169" s="127">
        <v>0</v>
      </c>
      <c r="H169" s="117">
        <v>0</v>
      </c>
      <c r="I169" s="42"/>
      <c r="J169" s="43"/>
      <c r="K169" s="42"/>
      <c r="L169" s="42"/>
      <c r="M169" s="42"/>
      <c r="N169" s="42"/>
      <c r="O169" s="42"/>
    </row>
    <row r="170" spans="1:15" ht="17.25" thickTop="1" thickBot="1" x14ac:dyDescent="0.3">
      <c r="A170" s="314"/>
      <c r="B170" s="121" t="s">
        <v>26</v>
      </c>
      <c r="C170" s="189">
        <v>0.08</v>
      </c>
      <c r="D170" s="117">
        <v>8.2000000000000003E-2</v>
      </c>
      <c r="E170" s="127">
        <v>8.5000000000000006E-2</v>
      </c>
      <c r="F170" s="189">
        <v>8.4000000000000005E-2</v>
      </c>
      <c r="G170" s="127">
        <v>8.1000000000000003E-2</v>
      </c>
      <c r="H170" s="117">
        <v>7.9000000000000001E-2</v>
      </c>
      <c r="I170" s="42"/>
      <c r="J170" s="43"/>
      <c r="K170" s="42"/>
      <c r="L170" s="42"/>
      <c r="M170" s="42"/>
      <c r="N170" s="42"/>
      <c r="O170" s="42"/>
    </row>
    <row r="171" spans="1:15" ht="17.25" thickTop="1" thickBot="1" x14ac:dyDescent="0.3">
      <c r="A171" s="293"/>
      <c r="B171" s="123" t="s">
        <v>27</v>
      </c>
      <c r="C171" s="192">
        <v>93.4</v>
      </c>
      <c r="D171" s="125">
        <v>94</v>
      </c>
      <c r="E171" s="124">
        <v>95</v>
      </c>
      <c r="F171" s="192">
        <v>94.8</v>
      </c>
      <c r="G171" s="124">
        <v>93.9</v>
      </c>
      <c r="H171" s="125">
        <v>93</v>
      </c>
      <c r="I171" s="42"/>
      <c r="J171" s="43"/>
      <c r="K171" s="42"/>
      <c r="L171" s="42"/>
      <c r="M171" s="42"/>
      <c r="N171" s="42"/>
      <c r="O171" s="42"/>
    </row>
    <row r="172" spans="1:15" ht="16.5" thickBot="1" x14ac:dyDescent="0.3">
      <c r="A172" s="292">
        <v>15</v>
      </c>
      <c r="B172" s="121" t="s">
        <v>38</v>
      </c>
      <c r="C172" s="318"/>
      <c r="D172" s="319"/>
      <c r="E172" s="319"/>
      <c r="F172" s="319"/>
      <c r="G172" s="319"/>
      <c r="H172" s="320"/>
      <c r="I172" s="42"/>
      <c r="J172" s="43"/>
      <c r="K172" s="42"/>
      <c r="L172" s="42"/>
      <c r="M172" s="42"/>
      <c r="N172" s="42"/>
      <c r="O172" s="42"/>
    </row>
    <row r="173" spans="1:15" ht="17.25" thickTop="1" thickBot="1" x14ac:dyDescent="0.3">
      <c r="A173" s="314"/>
      <c r="B173" s="121" t="s">
        <v>31</v>
      </c>
      <c r="C173" s="189">
        <v>64.25</v>
      </c>
      <c r="D173" s="117">
        <v>65.61</v>
      </c>
      <c r="E173" s="127">
        <v>67.81</v>
      </c>
      <c r="F173" s="189">
        <v>67.22</v>
      </c>
      <c r="G173" s="127">
        <v>64.89</v>
      </c>
      <c r="H173" s="117">
        <v>61.55</v>
      </c>
      <c r="I173" s="42"/>
      <c r="J173" s="43"/>
      <c r="K173" s="42"/>
      <c r="L173" s="42"/>
      <c r="M173" s="42"/>
      <c r="N173" s="42"/>
      <c r="O173" s="42"/>
    </row>
    <row r="174" spans="1:15" ht="17.25" thickTop="1" thickBot="1" x14ac:dyDescent="0.3">
      <c r="A174" s="314"/>
      <c r="B174" s="121" t="s">
        <v>27</v>
      </c>
      <c r="C174" s="189">
        <v>93.4</v>
      </c>
      <c r="D174" s="117">
        <v>94</v>
      </c>
      <c r="E174" s="127">
        <v>95</v>
      </c>
      <c r="F174" s="189">
        <v>94.8</v>
      </c>
      <c r="G174" s="127">
        <v>93.9</v>
      </c>
      <c r="H174" s="117">
        <v>93</v>
      </c>
      <c r="I174" s="42"/>
      <c r="J174" s="43"/>
      <c r="K174" s="42"/>
      <c r="L174" s="42"/>
      <c r="M174" s="42"/>
      <c r="N174" s="42"/>
      <c r="O174" s="42"/>
    </row>
    <row r="175" spans="1:15" ht="48.75" thickTop="1" thickBot="1" x14ac:dyDescent="0.3">
      <c r="A175" s="294"/>
      <c r="B175" s="121" t="s">
        <v>114</v>
      </c>
      <c r="C175" s="189" t="s">
        <v>201</v>
      </c>
      <c r="D175" s="117" t="s">
        <v>201</v>
      </c>
      <c r="E175" s="127" t="s">
        <v>201</v>
      </c>
      <c r="F175" s="189" t="s">
        <v>202</v>
      </c>
      <c r="G175" s="127" t="s">
        <v>203</v>
      </c>
      <c r="H175" s="117" t="s">
        <v>204</v>
      </c>
      <c r="I175" s="42"/>
      <c r="J175" s="43"/>
      <c r="K175" s="42"/>
      <c r="L175" s="42"/>
      <c r="M175" s="42"/>
      <c r="N175" s="42"/>
      <c r="O175" s="42"/>
    </row>
    <row r="176" spans="1:15" ht="17.25" thickTop="1" thickBot="1" x14ac:dyDescent="0.3">
      <c r="A176" s="295">
        <v>16</v>
      </c>
      <c r="B176" s="121" t="s">
        <v>53</v>
      </c>
      <c r="C176" s="308"/>
      <c r="D176" s="309"/>
      <c r="E176" s="309"/>
      <c r="F176" s="309"/>
      <c r="G176" s="309"/>
      <c r="H176" s="310"/>
      <c r="I176" s="42"/>
      <c r="J176" s="43"/>
      <c r="K176" s="42"/>
      <c r="L176" s="42"/>
      <c r="M176" s="42"/>
      <c r="N176" s="42"/>
      <c r="O176" s="42"/>
    </row>
    <row r="177" spans="1:15" ht="17.25" thickTop="1" thickBot="1" x14ac:dyDescent="0.3">
      <c r="A177" s="314"/>
      <c r="B177" s="121" t="s">
        <v>31</v>
      </c>
      <c r="C177" s="189">
        <v>64.25</v>
      </c>
      <c r="D177" s="117">
        <v>65.61</v>
      </c>
      <c r="E177" s="127">
        <v>67.81</v>
      </c>
      <c r="F177" s="189">
        <v>67.22</v>
      </c>
      <c r="G177" s="127">
        <v>64.89</v>
      </c>
      <c r="H177" s="117">
        <v>61.55</v>
      </c>
      <c r="I177" s="42"/>
      <c r="J177" s="43"/>
      <c r="K177" s="42"/>
      <c r="L177" s="42"/>
      <c r="M177" s="42"/>
      <c r="N177" s="42"/>
      <c r="O177" s="42"/>
    </row>
    <row r="178" spans="1:15" ht="17.25" thickTop="1" thickBot="1" x14ac:dyDescent="0.3">
      <c r="A178" s="314"/>
      <c r="B178" s="121" t="s">
        <v>26</v>
      </c>
      <c r="C178" s="189">
        <v>6.0000000000000001E-3</v>
      </c>
      <c r="D178" s="117">
        <v>7.0000000000000001E-3</v>
      </c>
      <c r="E178" s="127">
        <v>8.0000000000000002E-3</v>
      </c>
      <c r="F178" s="189">
        <v>8.9999999999999993E-3</v>
      </c>
      <c r="G178" s="127">
        <v>1.0999999999999999E-2</v>
      </c>
      <c r="H178" s="117">
        <v>1.7000000000000001E-2</v>
      </c>
      <c r="I178" s="42"/>
      <c r="J178" s="43"/>
      <c r="K178" s="42"/>
      <c r="L178" s="42"/>
      <c r="M178" s="42"/>
      <c r="N178" s="42"/>
      <c r="O178" s="42"/>
    </row>
    <row r="179" spans="1:15" ht="48.75" thickTop="1" thickBot="1" x14ac:dyDescent="0.3">
      <c r="A179" s="294"/>
      <c r="B179" s="121" t="s">
        <v>122</v>
      </c>
      <c r="C179" s="189" t="s">
        <v>205</v>
      </c>
      <c r="D179" s="117" t="s">
        <v>206</v>
      </c>
      <c r="E179" s="127" t="s">
        <v>207</v>
      </c>
      <c r="F179" s="189" t="s">
        <v>208</v>
      </c>
      <c r="G179" s="127" t="s">
        <v>209</v>
      </c>
      <c r="H179" s="117" t="s">
        <v>210</v>
      </c>
      <c r="I179" s="42"/>
      <c r="J179" s="43"/>
      <c r="K179" s="42"/>
      <c r="L179" s="42"/>
      <c r="M179" s="42"/>
      <c r="N179" s="42"/>
      <c r="O179" s="42"/>
    </row>
    <row r="180" spans="1:15" ht="17.25" thickTop="1" thickBot="1" x14ac:dyDescent="0.3">
      <c r="A180" s="302" t="s">
        <v>63</v>
      </c>
      <c r="B180" s="303"/>
      <c r="C180" s="303"/>
      <c r="D180" s="303"/>
      <c r="E180" s="303"/>
      <c r="F180" s="303"/>
      <c r="G180" s="303"/>
      <c r="H180" s="304"/>
      <c r="I180" s="42"/>
      <c r="J180" s="43"/>
      <c r="K180" s="42"/>
      <c r="L180" s="42"/>
      <c r="M180" s="42"/>
      <c r="N180" s="42"/>
      <c r="O180" s="42"/>
    </row>
    <row r="181" spans="1:15" ht="17.25" thickTop="1" thickBot="1" x14ac:dyDescent="0.3">
      <c r="A181" s="134">
        <v>17</v>
      </c>
      <c r="B181" s="121" t="s">
        <v>26</v>
      </c>
      <c r="C181" s="189">
        <v>6.0000000000000001E-3</v>
      </c>
      <c r="D181" s="117">
        <v>7.0000000000000001E-3</v>
      </c>
      <c r="E181" s="127">
        <v>8.0000000000000002E-3</v>
      </c>
      <c r="F181" s="189">
        <v>8.9999999999999993E-3</v>
      </c>
      <c r="G181" s="127">
        <v>1.0999999999999999E-2</v>
      </c>
      <c r="H181" s="117">
        <v>1.7000000000000001E-2</v>
      </c>
      <c r="I181" s="42"/>
      <c r="J181" s="43"/>
      <c r="K181" s="42"/>
      <c r="L181" s="42"/>
      <c r="M181" s="42"/>
      <c r="N181" s="42"/>
      <c r="O181" s="42"/>
    </row>
    <row r="182" spans="1:15" ht="33" thickTop="1" thickBot="1" x14ac:dyDescent="0.3">
      <c r="A182" s="134">
        <v>18</v>
      </c>
      <c r="B182" s="121" t="s">
        <v>64</v>
      </c>
      <c r="C182" s="189">
        <v>35.450000000000003</v>
      </c>
      <c r="D182" s="117">
        <v>38.869999999999997</v>
      </c>
      <c r="E182" s="127">
        <v>41.51</v>
      </c>
      <c r="F182" s="189">
        <v>43.46</v>
      </c>
      <c r="G182" s="127">
        <v>47.73</v>
      </c>
      <c r="H182" s="117">
        <v>56.87</v>
      </c>
      <c r="I182" s="42"/>
      <c r="J182" s="43"/>
      <c r="K182" s="42"/>
      <c r="L182" s="42"/>
      <c r="M182" s="42"/>
      <c r="N182" s="42"/>
      <c r="O182" s="42"/>
    </row>
    <row r="183" spans="1:15" ht="33" thickTop="1" thickBot="1" x14ac:dyDescent="0.3">
      <c r="A183" s="134">
        <v>19</v>
      </c>
      <c r="B183" s="121" t="s">
        <v>65</v>
      </c>
      <c r="C183" s="189">
        <v>3611</v>
      </c>
      <c r="D183" s="117">
        <v>3611</v>
      </c>
      <c r="E183" s="127">
        <v>3611</v>
      </c>
      <c r="F183" s="189">
        <v>3611</v>
      </c>
      <c r="G183" s="127">
        <v>3611</v>
      </c>
      <c r="H183" s="117">
        <v>3611</v>
      </c>
      <c r="I183" s="42"/>
      <c r="J183" s="43"/>
      <c r="K183" s="42"/>
      <c r="L183" s="42"/>
      <c r="M183" s="42"/>
      <c r="N183" s="42"/>
      <c r="O183" s="42"/>
    </row>
    <row r="184" spans="1:15" ht="33" thickTop="1" thickBot="1" x14ac:dyDescent="0.3">
      <c r="A184" s="134">
        <v>20</v>
      </c>
      <c r="B184" s="121" t="s">
        <v>127</v>
      </c>
      <c r="C184" s="189">
        <v>13</v>
      </c>
      <c r="D184" s="117">
        <v>16</v>
      </c>
      <c r="E184" s="127">
        <v>18</v>
      </c>
      <c r="F184" s="189">
        <v>20</v>
      </c>
      <c r="G184" s="127">
        <v>25</v>
      </c>
      <c r="H184" s="117">
        <v>35</v>
      </c>
      <c r="I184" s="42"/>
      <c r="J184" s="43"/>
      <c r="K184" s="42"/>
      <c r="L184" s="42"/>
      <c r="M184" s="42"/>
      <c r="N184" s="42"/>
      <c r="O184" s="42"/>
    </row>
    <row r="185" spans="1:15" ht="33" thickTop="1" thickBot="1" x14ac:dyDescent="0.3">
      <c r="A185" s="134">
        <v>21</v>
      </c>
      <c r="B185" s="121" t="s">
        <v>128</v>
      </c>
      <c r="C185" s="189">
        <v>22.4</v>
      </c>
      <c r="D185" s="117">
        <v>25.6</v>
      </c>
      <c r="E185" s="127">
        <v>27.9</v>
      </c>
      <c r="F185" s="189">
        <v>29.8</v>
      </c>
      <c r="G185" s="127">
        <v>34.5</v>
      </c>
      <c r="H185" s="117">
        <v>44.1</v>
      </c>
      <c r="I185" s="42"/>
      <c r="J185" s="43"/>
      <c r="K185" s="42"/>
      <c r="L185" s="42"/>
      <c r="M185" s="42"/>
      <c r="N185" s="42"/>
      <c r="O185" s="42"/>
    </row>
    <row r="186" spans="1:15" ht="32.25" thickTop="1" x14ac:dyDescent="0.25">
      <c r="A186" s="289">
        <v>22</v>
      </c>
      <c r="B186" s="59" t="s">
        <v>129</v>
      </c>
      <c r="C186" s="137"/>
      <c r="D186" s="139"/>
      <c r="E186" s="137"/>
      <c r="F186" s="137"/>
      <c r="G186" s="137"/>
      <c r="H186" s="139"/>
      <c r="I186" s="42"/>
      <c r="J186" s="43"/>
      <c r="K186" s="42"/>
      <c r="L186" s="42"/>
      <c r="M186" s="42"/>
      <c r="N186" s="42"/>
      <c r="O186" s="42"/>
    </row>
    <row r="187" spans="1:15" ht="16.5" thickBot="1" x14ac:dyDescent="0.3">
      <c r="A187" s="288"/>
      <c r="B187" s="121" t="s">
        <v>130</v>
      </c>
      <c r="C187" s="189">
        <v>38.200000000000003</v>
      </c>
      <c r="D187" s="117">
        <v>41.6</v>
      </c>
      <c r="E187" s="127">
        <v>44.3</v>
      </c>
      <c r="F187" s="189">
        <v>44.5</v>
      </c>
      <c r="G187" s="127">
        <v>50.5</v>
      </c>
      <c r="H187" s="117">
        <v>59.6</v>
      </c>
      <c r="I187" s="42"/>
      <c r="J187" s="43"/>
      <c r="K187" s="42"/>
      <c r="L187" s="42"/>
      <c r="M187" s="42"/>
      <c r="N187" s="42"/>
      <c r="O187" s="42"/>
    </row>
    <row r="188" spans="1:15" ht="33" thickTop="1" thickBot="1" x14ac:dyDescent="0.3">
      <c r="A188" s="134">
        <v>23</v>
      </c>
      <c r="B188" s="121" t="s">
        <v>131</v>
      </c>
      <c r="C188" s="127" t="s">
        <v>182</v>
      </c>
      <c r="D188" s="117" t="s">
        <v>182</v>
      </c>
      <c r="E188" s="127" t="s">
        <v>182</v>
      </c>
      <c r="F188" s="127" t="s">
        <v>182</v>
      </c>
      <c r="G188" s="127" t="s">
        <v>182</v>
      </c>
      <c r="H188" s="117" t="s">
        <v>182</v>
      </c>
      <c r="I188" s="42"/>
      <c r="J188" s="43"/>
      <c r="K188" s="42"/>
      <c r="L188" s="42"/>
      <c r="M188" s="42"/>
      <c r="N188" s="42"/>
      <c r="O188" s="42"/>
    </row>
    <row r="189" spans="1:15" ht="32.25" thickTop="1" x14ac:dyDescent="0.25">
      <c r="A189" s="289">
        <v>24</v>
      </c>
      <c r="B189" s="59" t="s">
        <v>132</v>
      </c>
      <c r="C189" s="137"/>
      <c r="D189" s="139"/>
      <c r="E189" s="137"/>
      <c r="F189" s="137"/>
      <c r="G189" s="137"/>
      <c r="H189" s="139"/>
      <c r="I189" s="42"/>
      <c r="J189" s="43"/>
      <c r="K189" s="42"/>
      <c r="L189" s="42"/>
      <c r="M189" s="42"/>
      <c r="N189" s="42"/>
      <c r="O189" s="42"/>
    </row>
    <row r="190" spans="1:15" ht="32.25" thickBot="1" x14ac:dyDescent="0.3">
      <c r="A190" s="288"/>
      <c r="B190" s="121" t="s">
        <v>72</v>
      </c>
      <c r="C190" s="189">
        <v>38.200000000000003</v>
      </c>
      <c r="D190" s="117">
        <v>41.6</v>
      </c>
      <c r="E190" s="127">
        <v>44.3</v>
      </c>
      <c r="F190" s="189">
        <v>44.5</v>
      </c>
      <c r="G190" s="127">
        <v>50.5</v>
      </c>
      <c r="H190" s="117">
        <v>59.6</v>
      </c>
      <c r="I190" s="42"/>
      <c r="J190" s="43"/>
      <c r="K190" s="42"/>
      <c r="L190" s="42"/>
      <c r="M190" s="42"/>
      <c r="N190" s="42"/>
      <c r="O190" s="42"/>
    </row>
    <row r="191" spans="1:15" ht="32.25" thickTop="1" x14ac:dyDescent="0.25">
      <c r="A191" s="289">
        <v>25</v>
      </c>
      <c r="B191" s="59" t="s">
        <v>133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16.5" thickBot="1" x14ac:dyDescent="0.3">
      <c r="A192" s="290"/>
      <c r="B192" s="123" t="s">
        <v>76</v>
      </c>
      <c r="C192" s="192">
        <v>64.81</v>
      </c>
      <c r="D192" s="125">
        <v>66.19</v>
      </c>
      <c r="E192" s="124">
        <v>68.38</v>
      </c>
      <c r="F192" s="192">
        <v>67.81</v>
      </c>
      <c r="G192" s="124">
        <v>65.45</v>
      </c>
      <c r="H192" s="125">
        <v>62.09</v>
      </c>
      <c r="I192" s="42"/>
      <c r="J192" s="43"/>
      <c r="K192" s="42"/>
      <c r="L192" s="42"/>
      <c r="M192" s="42"/>
      <c r="N192" s="42"/>
      <c r="O192" s="42"/>
    </row>
    <row r="193" spans="1:15" ht="31.5" x14ac:dyDescent="0.25">
      <c r="A193" s="287">
        <v>26</v>
      </c>
      <c r="B193" s="59" t="s">
        <v>75</v>
      </c>
      <c r="C193" s="137"/>
      <c r="D193" s="119"/>
      <c r="E193" s="138"/>
      <c r="F193" s="137"/>
      <c r="G193" s="138"/>
      <c r="H193" s="119"/>
      <c r="I193" s="42"/>
      <c r="J193" s="43"/>
      <c r="K193" s="42"/>
      <c r="L193" s="42"/>
      <c r="M193" s="42"/>
      <c r="N193" s="42"/>
      <c r="O193" s="42"/>
    </row>
    <row r="194" spans="1:15" ht="16.5" thickBot="1" x14ac:dyDescent="0.3">
      <c r="A194" s="288"/>
      <c r="B194" s="121" t="s">
        <v>76</v>
      </c>
      <c r="C194" s="189">
        <v>74.47</v>
      </c>
      <c r="D194" s="117">
        <v>72.53</v>
      </c>
      <c r="E194" s="127">
        <v>72.53</v>
      </c>
      <c r="F194" s="189">
        <v>71.94</v>
      </c>
      <c r="G194" s="127">
        <v>63.92</v>
      </c>
      <c r="H194" s="117">
        <v>53.31</v>
      </c>
      <c r="I194" s="42"/>
      <c r="J194" s="43"/>
      <c r="K194" s="42"/>
      <c r="L194" s="42"/>
      <c r="M194" s="42"/>
      <c r="N194" s="42"/>
      <c r="O194" s="42"/>
    </row>
    <row r="195" spans="1:15" ht="32.25" thickTop="1" x14ac:dyDescent="0.25">
      <c r="A195" s="289">
        <v>27</v>
      </c>
      <c r="B195" s="59" t="s">
        <v>134</v>
      </c>
      <c r="C195" s="137"/>
      <c r="D195" s="139"/>
      <c r="E195" s="137"/>
      <c r="F195" s="137"/>
      <c r="G195" s="137"/>
      <c r="H195" s="139"/>
      <c r="I195" s="42"/>
      <c r="J195" s="43"/>
      <c r="K195" s="42"/>
      <c r="L195" s="42"/>
      <c r="M195" s="42"/>
      <c r="N195" s="42"/>
      <c r="O195" s="42"/>
    </row>
    <row r="196" spans="1:15" ht="16.5" thickBot="1" x14ac:dyDescent="0.3">
      <c r="A196" s="288"/>
      <c r="B196" s="121" t="s">
        <v>135</v>
      </c>
      <c r="C196" s="189">
        <v>13.96</v>
      </c>
      <c r="D196" s="117">
        <v>11.57</v>
      </c>
      <c r="E196" s="127">
        <v>9.9700000000000006</v>
      </c>
      <c r="F196" s="189">
        <v>9.82</v>
      </c>
      <c r="G196" s="127">
        <v>5.6</v>
      </c>
      <c r="H196" s="117">
        <v>0.17</v>
      </c>
      <c r="I196" s="42"/>
      <c r="J196" s="43"/>
      <c r="K196" s="42"/>
      <c r="L196" s="42"/>
      <c r="M196" s="42"/>
      <c r="N196" s="42"/>
      <c r="O196" s="42"/>
    </row>
    <row r="197" spans="1:15" ht="33" thickTop="1" thickBot="1" x14ac:dyDescent="0.3">
      <c r="A197" s="134">
        <v>28</v>
      </c>
      <c r="B197" s="121" t="s">
        <v>211</v>
      </c>
      <c r="C197" s="189">
        <v>4.28</v>
      </c>
      <c r="D197" s="117">
        <v>5.23</v>
      </c>
      <c r="E197" s="127">
        <v>5.81</v>
      </c>
      <c r="F197" s="189">
        <v>5.69</v>
      </c>
      <c r="G197" s="127">
        <v>7.13</v>
      </c>
      <c r="H197" s="117">
        <v>8.94</v>
      </c>
      <c r="I197" s="42"/>
      <c r="J197" s="43"/>
      <c r="K197" s="42"/>
      <c r="L197" s="42"/>
      <c r="M197" s="42"/>
      <c r="N197" s="42"/>
      <c r="O197" s="42"/>
    </row>
    <row r="198" spans="1:15" ht="32.25" thickTop="1" x14ac:dyDescent="0.25">
      <c r="A198" s="289">
        <v>29</v>
      </c>
      <c r="B198" s="59" t="s">
        <v>136</v>
      </c>
      <c r="C198" s="137"/>
      <c r="D198" s="139"/>
      <c r="E198" s="137"/>
      <c r="F198" s="137"/>
      <c r="G198" s="137"/>
      <c r="H198" s="139"/>
      <c r="I198" s="42"/>
      <c r="J198" s="43"/>
      <c r="K198" s="42"/>
      <c r="L198" s="42"/>
      <c r="M198" s="42"/>
      <c r="N198" s="42"/>
      <c r="O198" s="42"/>
    </row>
    <row r="199" spans="1:15" ht="32.25" thickBot="1" x14ac:dyDescent="0.3">
      <c r="A199" s="288"/>
      <c r="B199" s="121" t="s">
        <v>137</v>
      </c>
      <c r="C199" s="189">
        <v>60</v>
      </c>
      <c r="D199" s="117">
        <v>60</v>
      </c>
      <c r="E199" s="127">
        <v>60</v>
      </c>
      <c r="F199" s="189">
        <v>60</v>
      </c>
      <c r="G199" s="127">
        <v>60</v>
      </c>
      <c r="H199" s="117">
        <v>60</v>
      </c>
      <c r="I199" s="42"/>
      <c r="J199" s="43"/>
      <c r="K199" s="42"/>
      <c r="L199" s="42"/>
      <c r="M199" s="42"/>
      <c r="N199" s="42"/>
      <c r="O199" s="42"/>
    </row>
    <row r="200" spans="1:15" ht="32.25" thickTop="1" x14ac:dyDescent="0.25">
      <c r="A200" s="289">
        <v>30</v>
      </c>
      <c r="B200" s="59" t="s">
        <v>129</v>
      </c>
      <c r="C200" s="412">
        <v>146.1</v>
      </c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2.25" thickBot="1" x14ac:dyDescent="0.3">
      <c r="A201" s="288"/>
      <c r="B201" s="121" t="s">
        <v>212</v>
      </c>
      <c r="C201" s="413"/>
      <c r="D201" s="117">
        <v>146.80000000000001</v>
      </c>
      <c r="E201" s="127">
        <v>148</v>
      </c>
      <c r="F201" s="189">
        <v>147.6</v>
      </c>
      <c r="G201" s="127">
        <v>146.1</v>
      </c>
      <c r="H201" s="117">
        <v>143.9</v>
      </c>
      <c r="I201" s="42"/>
      <c r="J201" s="43"/>
      <c r="K201" s="42"/>
      <c r="L201" s="42"/>
      <c r="M201" s="42"/>
      <c r="N201" s="42"/>
      <c r="O201" s="42"/>
    </row>
    <row r="202" spans="1:15" ht="33" thickTop="1" thickBot="1" x14ac:dyDescent="0.3">
      <c r="A202" s="134">
        <v>31</v>
      </c>
      <c r="B202" s="121" t="s">
        <v>139</v>
      </c>
      <c r="C202" s="189">
        <v>166.2</v>
      </c>
      <c r="D202" s="117">
        <v>166.2</v>
      </c>
      <c r="E202" s="127">
        <v>166.3</v>
      </c>
      <c r="F202" s="189">
        <v>166.3</v>
      </c>
      <c r="G202" s="127">
        <v>166.2</v>
      </c>
      <c r="H202" s="117">
        <v>166.2</v>
      </c>
      <c r="I202" s="42"/>
      <c r="J202" s="43"/>
      <c r="K202" s="42"/>
      <c r="L202" s="42"/>
      <c r="M202" s="42"/>
      <c r="N202" s="42"/>
      <c r="O202" s="42"/>
    </row>
    <row r="203" spans="1:15" ht="33" thickTop="1" thickBot="1" x14ac:dyDescent="0.3">
      <c r="A203" s="135">
        <v>32</v>
      </c>
      <c r="B203" s="123" t="s">
        <v>83</v>
      </c>
      <c r="C203" s="192">
        <v>285.10000000000002</v>
      </c>
      <c r="D203" s="125">
        <v>286.2</v>
      </c>
      <c r="E203" s="124">
        <v>288.60000000000002</v>
      </c>
      <c r="F203" s="192">
        <v>288.10000000000002</v>
      </c>
      <c r="G203" s="124">
        <v>285.8</v>
      </c>
      <c r="H203" s="125">
        <v>282.39999999999998</v>
      </c>
      <c r="I203" s="42"/>
      <c r="J203" s="43"/>
      <c r="K203" s="42"/>
      <c r="L203" s="42"/>
      <c r="M203" s="42"/>
      <c r="N203" s="42"/>
      <c r="O203" s="42"/>
    </row>
    <row r="204" spans="1:15" ht="32.25" thickBot="1" x14ac:dyDescent="0.3">
      <c r="A204" s="134">
        <v>33</v>
      </c>
      <c r="B204" s="121" t="s">
        <v>84</v>
      </c>
      <c r="C204" s="189">
        <v>7.0529999999999999</v>
      </c>
      <c r="D204" s="117">
        <v>7.2409999999999997</v>
      </c>
      <c r="E204" s="127">
        <v>7.5389999999999997</v>
      </c>
      <c r="F204" s="189">
        <v>7.5</v>
      </c>
      <c r="G204" s="127">
        <v>7.3150000000000004</v>
      </c>
      <c r="H204" s="117">
        <v>7.0839999999999996</v>
      </c>
      <c r="I204" s="42"/>
      <c r="J204" s="43"/>
      <c r="K204" s="42"/>
      <c r="L204" s="42"/>
      <c r="M204" s="42"/>
      <c r="N204" s="42"/>
      <c r="O204" s="42"/>
    </row>
    <row r="205" spans="1:15" ht="33" thickTop="1" thickBot="1" x14ac:dyDescent="0.3">
      <c r="A205" s="134">
        <v>34</v>
      </c>
      <c r="B205" s="121" t="s">
        <v>85</v>
      </c>
      <c r="C205" s="189">
        <v>0.55900000000000005</v>
      </c>
      <c r="D205" s="117">
        <v>0.56899999999999995</v>
      </c>
      <c r="E205" s="127">
        <v>0.58599999999999997</v>
      </c>
      <c r="F205" s="189">
        <v>0.58099999999999996</v>
      </c>
      <c r="G205" s="127">
        <v>0.55900000000000005</v>
      </c>
      <c r="H205" s="117">
        <v>0.52700000000000002</v>
      </c>
      <c r="I205" s="42"/>
      <c r="J205" s="43"/>
      <c r="K205" s="42"/>
      <c r="L205" s="42"/>
      <c r="M205" s="42"/>
      <c r="N205" s="42"/>
      <c r="O205" s="42"/>
    </row>
    <row r="206" spans="1:15" ht="15.75" thickTop="1" x14ac:dyDescent="0.25">
      <c r="A206" s="42"/>
      <c r="B206" s="42"/>
      <c r="C206" s="42"/>
      <c r="D206" s="42"/>
      <c r="E206" s="42"/>
      <c r="F206" s="42"/>
      <c r="G206" s="42"/>
      <c r="H206" s="42"/>
      <c r="I206" s="42"/>
      <c r="J206" s="43"/>
      <c r="K206" s="42"/>
      <c r="L206" s="42"/>
      <c r="M206" s="42"/>
      <c r="N206" s="42"/>
      <c r="O206" s="42"/>
    </row>
    <row r="207" spans="1:15" ht="17.25" thickBot="1" x14ac:dyDescent="0.3">
      <c r="A207" s="204" t="s">
        <v>200</v>
      </c>
      <c r="B207" s="42"/>
      <c r="C207" s="42"/>
      <c r="D207" s="42"/>
      <c r="E207" s="42"/>
      <c r="F207" s="42"/>
      <c r="G207" s="42"/>
      <c r="H207" s="42"/>
      <c r="I207" s="42"/>
      <c r="J207" s="43"/>
      <c r="K207" s="42"/>
      <c r="L207" s="42"/>
      <c r="M207" s="42"/>
      <c r="N207" s="42"/>
      <c r="O207" s="42"/>
    </row>
    <row r="208" spans="1:15" ht="18" thickTop="1" thickBot="1" x14ac:dyDescent="0.3">
      <c r="A208" s="311" t="s">
        <v>86</v>
      </c>
      <c r="B208" s="312"/>
      <c r="C208" s="312"/>
      <c r="D208" s="312"/>
      <c r="E208" s="312"/>
      <c r="F208" s="312"/>
      <c r="G208" s="312"/>
      <c r="H208" s="313"/>
      <c r="I208" s="42"/>
      <c r="J208" s="43"/>
      <c r="K208" s="42"/>
      <c r="L208" s="42"/>
      <c r="M208" s="42"/>
      <c r="N208" s="42"/>
      <c r="O208" s="42"/>
    </row>
    <row r="209" spans="1:15" ht="18" thickTop="1" thickBot="1" x14ac:dyDescent="0.3">
      <c r="A209" s="156">
        <v>35</v>
      </c>
      <c r="B209" s="150" t="s">
        <v>87</v>
      </c>
      <c r="C209" s="205">
        <v>127.3</v>
      </c>
      <c r="D209" s="152">
        <v>127.3</v>
      </c>
      <c r="E209" s="151">
        <v>127.3</v>
      </c>
      <c r="F209" s="205">
        <v>123.6</v>
      </c>
      <c r="G209" s="151">
        <v>111.9</v>
      </c>
      <c r="H209" s="152">
        <v>96.9</v>
      </c>
      <c r="I209" s="42"/>
      <c r="J209" s="43"/>
      <c r="K209" s="42"/>
      <c r="L209" s="42"/>
      <c r="M209" s="42"/>
      <c r="N209" s="42"/>
      <c r="O209" s="42"/>
    </row>
    <row r="210" spans="1:15" ht="18" thickTop="1" thickBot="1" x14ac:dyDescent="0.3">
      <c r="A210" s="156">
        <v>36</v>
      </c>
      <c r="B210" s="150" t="s">
        <v>88</v>
      </c>
      <c r="C210" s="205">
        <v>62.12</v>
      </c>
      <c r="D210" s="152">
        <v>62.8</v>
      </c>
      <c r="E210" s="151">
        <v>64.650000000000006</v>
      </c>
      <c r="F210" s="206">
        <v>63.71</v>
      </c>
      <c r="G210" s="151">
        <v>60.84</v>
      </c>
      <c r="H210" s="152">
        <v>56.36</v>
      </c>
      <c r="I210" s="42"/>
      <c r="J210" s="43"/>
      <c r="K210" s="42"/>
      <c r="L210" s="42"/>
      <c r="M210" s="42"/>
      <c r="N210" s="42"/>
      <c r="O210" s="42"/>
    </row>
    <row r="211" spans="1:15" ht="34.5" thickTop="1" thickBot="1" x14ac:dyDescent="0.3">
      <c r="A211" s="156">
        <v>37</v>
      </c>
      <c r="B211" s="150" t="s">
        <v>89</v>
      </c>
      <c r="C211" s="205">
        <v>189.42</v>
      </c>
      <c r="D211" s="152">
        <v>190.1</v>
      </c>
      <c r="E211" s="151">
        <v>191.95</v>
      </c>
      <c r="F211" s="205">
        <v>187.31</v>
      </c>
      <c r="G211" s="151">
        <v>172.7</v>
      </c>
      <c r="H211" s="152">
        <v>153.30000000000001</v>
      </c>
      <c r="I211" s="42"/>
      <c r="J211" s="43"/>
      <c r="K211" s="42"/>
      <c r="L211" s="42"/>
      <c r="M211" s="42"/>
      <c r="N211" s="42"/>
      <c r="O211" s="42"/>
    </row>
    <row r="212" spans="1:15" ht="34.5" thickTop="1" thickBot="1" x14ac:dyDescent="0.3">
      <c r="A212" s="305">
        <v>38</v>
      </c>
      <c r="B212" s="150" t="s">
        <v>140</v>
      </c>
      <c r="C212" s="151">
        <v>0</v>
      </c>
      <c r="D212" s="152">
        <v>0</v>
      </c>
      <c r="E212" s="151">
        <v>0</v>
      </c>
      <c r="F212" s="151">
        <v>0</v>
      </c>
      <c r="G212" s="151">
        <v>0</v>
      </c>
      <c r="H212" s="152">
        <v>0</v>
      </c>
      <c r="I212" s="42"/>
      <c r="J212" s="43"/>
      <c r="K212" s="42"/>
      <c r="L212" s="42"/>
      <c r="M212" s="42"/>
      <c r="N212" s="42"/>
      <c r="O212" s="42"/>
    </row>
    <row r="213" spans="1:15" ht="18" thickTop="1" thickBot="1" x14ac:dyDescent="0.3">
      <c r="A213" s="307"/>
      <c r="B213" s="157" t="s">
        <v>91</v>
      </c>
      <c r="C213" s="151">
        <v>0</v>
      </c>
      <c r="D213" s="152">
        <v>0</v>
      </c>
      <c r="E213" s="151">
        <v>0</v>
      </c>
      <c r="F213" s="151">
        <v>0</v>
      </c>
      <c r="G213" s="151">
        <v>0</v>
      </c>
      <c r="H213" s="152">
        <v>0</v>
      </c>
      <c r="I213" s="42"/>
      <c r="J213" s="43"/>
      <c r="K213" s="42"/>
      <c r="L213" s="42"/>
      <c r="M213" s="42"/>
      <c r="N213" s="42"/>
      <c r="O213" s="42"/>
    </row>
    <row r="214" spans="1:15" ht="34.5" thickTop="1" thickBot="1" x14ac:dyDescent="0.3">
      <c r="A214" s="305">
        <v>39</v>
      </c>
      <c r="B214" s="150" t="s">
        <v>141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8" thickTop="1" thickBot="1" x14ac:dyDescent="0.3">
      <c r="A215" s="307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4.5" thickTop="1" thickBot="1" x14ac:dyDescent="0.3">
      <c r="A216" s="305">
        <v>40</v>
      </c>
      <c r="B216" s="150" t="s">
        <v>142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8" thickTop="1" thickBot="1" x14ac:dyDescent="0.3">
      <c r="A217" s="307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4.5" thickTop="1" thickBot="1" x14ac:dyDescent="0.3">
      <c r="A218" s="305">
        <v>41</v>
      </c>
      <c r="B218" s="150" t="s">
        <v>143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8" thickTop="1" thickBot="1" x14ac:dyDescent="0.3">
      <c r="A219" s="307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51" thickTop="1" thickBot="1" x14ac:dyDescent="0.3">
      <c r="A220" s="305">
        <v>42</v>
      </c>
      <c r="B220" s="150" t="s">
        <v>144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8" thickTop="1" thickBot="1" x14ac:dyDescent="0.3">
      <c r="A221" s="307"/>
      <c r="B221" s="157" t="s">
        <v>90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3.75" thickTop="1" x14ac:dyDescent="0.25">
      <c r="A222" s="161"/>
      <c r="B222" s="99" t="s">
        <v>145</v>
      </c>
      <c r="C222" s="137"/>
      <c r="D222" s="139"/>
      <c r="E222" s="137"/>
      <c r="F222" s="137"/>
      <c r="G222" s="137"/>
      <c r="H222" s="139"/>
      <c r="I222" s="42"/>
      <c r="J222" s="43"/>
      <c r="K222" s="42"/>
      <c r="L222" s="42"/>
      <c r="M222" s="42"/>
      <c r="N222" s="42"/>
      <c r="O222" s="42"/>
    </row>
    <row r="223" spans="1:15" ht="17.25" thickBot="1" x14ac:dyDescent="0.3">
      <c r="A223" s="156">
        <v>43</v>
      </c>
      <c r="B223" s="150" t="s">
        <v>146</v>
      </c>
      <c r="C223" s="205">
        <v>48.53</v>
      </c>
      <c r="D223" s="152">
        <v>48.53</v>
      </c>
      <c r="E223" s="151">
        <v>48.65</v>
      </c>
      <c r="F223" s="206">
        <v>47.51</v>
      </c>
      <c r="G223" s="151">
        <v>43.95</v>
      </c>
      <c r="H223" s="152">
        <v>39.61</v>
      </c>
      <c r="I223" s="42"/>
      <c r="J223" s="43"/>
      <c r="K223" s="42"/>
      <c r="L223" s="42"/>
      <c r="M223" s="42"/>
      <c r="N223" s="42"/>
      <c r="O223" s="42"/>
    </row>
    <row r="224" spans="1:15" ht="33.75" thickTop="1" x14ac:dyDescent="0.25">
      <c r="A224" s="298">
        <v>44</v>
      </c>
      <c r="B224" s="99" t="s">
        <v>94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33.75" thickBot="1" x14ac:dyDescent="0.3">
      <c r="A225" s="299"/>
      <c r="B225" s="150" t="s">
        <v>95</v>
      </c>
      <c r="C225" s="206">
        <v>150</v>
      </c>
      <c r="D225" s="152">
        <v>150</v>
      </c>
      <c r="E225" s="151">
        <v>150</v>
      </c>
      <c r="F225" s="206">
        <v>150</v>
      </c>
      <c r="G225" s="151">
        <v>150</v>
      </c>
      <c r="H225" s="152">
        <v>150</v>
      </c>
      <c r="I225" s="42"/>
      <c r="J225" s="43"/>
      <c r="K225" s="42"/>
      <c r="L225" s="42"/>
      <c r="M225" s="42"/>
      <c r="N225" s="42"/>
      <c r="O225" s="42"/>
    </row>
    <row r="226" spans="1:15" ht="33.75" thickTop="1" x14ac:dyDescent="0.25">
      <c r="A226" s="298">
        <v>45</v>
      </c>
      <c r="B226" s="99" t="s">
        <v>147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17.25" thickBot="1" x14ac:dyDescent="0.3">
      <c r="A227" s="299"/>
      <c r="B227" s="150" t="s">
        <v>97</v>
      </c>
      <c r="C227" s="151">
        <v>0</v>
      </c>
      <c r="D227" s="152">
        <v>0</v>
      </c>
      <c r="E227" s="151">
        <v>0</v>
      </c>
      <c r="F227" s="151">
        <v>0</v>
      </c>
      <c r="G227" s="151">
        <v>0</v>
      </c>
      <c r="H227" s="152">
        <v>0</v>
      </c>
      <c r="I227" s="42"/>
      <c r="J227" s="43"/>
      <c r="K227" s="42"/>
      <c r="L227" s="42"/>
      <c r="M227" s="42"/>
      <c r="N227" s="42"/>
      <c r="O227" s="42"/>
    </row>
    <row r="228" spans="1:15" ht="33.75" thickTop="1" x14ac:dyDescent="0.25">
      <c r="A228" s="298">
        <v>46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7.25" thickBot="1" x14ac:dyDescent="0.3">
      <c r="A229" s="299"/>
      <c r="B229" s="150" t="s">
        <v>98</v>
      </c>
      <c r="C229" s="205">
        <v>48.53</v>
      </c>
      <c r="D229" s="152">
        <v>48.53</v>
      </c>
      <c r="E229" s="151">
        <v>48.65</v>
      </c>
      <c r="F229" s="206">
        <v>47.51</v>
      </c>
      <c r="G229" s="151">
        <v>43.95</v>
      </c>
      <c r="H229" s="152">
        <v>39.61</v>
      </c>
      <c r="I229" s="42"/>
      <c r="J229" s="43"/>
      <c r="K229" s="42"/>
      <c r="L229" s="42"/>
      <c r="M229" s="42"/>
      <c r="N229" s="42"/>
      <c r="O229" s="42"/>
    </row>
    <row r="230" spans="1:15" ht="19.5" thickTop="1" x14ac:dyDescent="0.25">
      <c r="A230" s="298">
        <v>47</v>
      </c>
      <c r="B230" s="59"/>
      <c r="C230" s="145"/>
      <c r="D230" s="146"/>
      <c r="E230" s="145"/>
      <c r="F230" s="145"/>
      <c r="G230" s="145"/>
      <c r="H230" s="146"/>
      <c r="I230" s="42"/>
      <c r="J230" s="43"/>
      <c r="K230" s="42"/>
      <c r="L230" s="42"/>
      <c r="M230" s="42"/>
      <c r="N230" s="42"/>
      <c r="O230" s="42"/>
    </row>
    <row r="231" spans="1:15" ht="82.5" x14ac:dyDescent="0.25">
      <c r="A231" s="408"/>
      <c r="B231" s="99" t="s">
        <v>148</v>
      </c>
      <c r="C231" s="97"/>
      <c r="D231" s="139"/>
      <c r="E231" s="137"/>
      <c r="F231" s="137"/>
      <c r="G231" s="137"/>
      <c r="H231" s="139"/>
      <c r="I231" s="42"/>
      <c r="J231" s="43"/>
      <c r="K231" s="42"/>
      <c r="L231" s="42"/>
      <c r="M231" s="42"/>
      <c r="N231" s="42"/>
      <c r="O231" s="42"/>
    </row>
    <row r="232" spans="1:15" ht="17.25" thickBot="1" x14ac:dyDescent="0.3">
      <c r="A232" s="299"/>
      <c r="B232" s="147"/>
      <c r="C232" s="205">
        <v>256.2</v>
      </c>
      <c r="D232" s="152">
        <v>255.3</v>
      </c>
      <c r="E232" s="151">
        <v>253.5</v>
      </c>
      <c r="F232" s="206">
        <v>253.6</v>
      </c>
      <c r="G232" s="151">
        <v>254.5</v>
      </c>
      <c r="H232" s="152">
        <v>258.39999999999998</v>
      </c>
      <c r="I232" s="42"/>
      <c r="J232" s="43"/>
      <c r="K232" s="42"/>
      <c r="L232" s="42"/>
      <c r="M232" s="42"/>
      <c r="N232" s="42"/>
      <c r="O232" s="42"/>
    </row>
    <row r="233" spans="1:15" ht="34.5" thickTop="1" thickBot="1" x14ac:dyDescent="0.3">
      <c r="A233" s="156">
        <v>48</v>
      </c>
      <c r="B233" s="150" t="s">
        <v>149</v>
      </c>
      <c r="C233" s="205">
        <v>47.95</v>
      </c>
      <c r="D233" s="152">
        <v>48.12</v>
      </c>
      <c r="E233" s="151">
        <v>48.47</v>
      </c>
      <c r="F233" s="206">
        <v>48.43</v>
      </c>
      <c r="G233" s="151">
        <v>48.27</v>
      </c>
      <c r="H233" s="152">
        <v>47.55</v>
      </c>
      <c r="I233" s="42"/>
      <c r="J233" s="43"/>
      <c r="K233" s="42"/>
      <c r="L233" s="42"/>
      <c r="M233" s="42"/>
      <c r="N233" s="42"/>
      <c r="O233" s="42"/>
    </row>
    <row r="234" spans="1:15" ht="34.5" thickTop="1" thickBot="1" x14ac:dyDescent="0.3">
      <c r="A234" s="156">
        <v>49</v>
      </c>
      <c r="B234" s="150" t="s">
        <v>150</v>
      </c>
      <c r="C234" s="206">
        <v>1</v>
      </c>
      <c r="D234" s="152">
        <v>1</v>
      </c>
      <c r="E234" s="151">
        <v>1</v>
      </c>
      <c r="F234" s="206">
        <v>1</v>
      </c>
      <c r="G234" s="151">
        <v>1</v>
      </c>
      <c r="H234" s="152">
        <v>1</v>
      </c>
      <c r="I234" s="42"/>
      <c r="J234" s="43"/>
      <c r="K234" s="42"/>
      <c r="L234" s="42"/>
      <c r="M234" s="42"/>
      <c r="N234" s="42"/>
      <c r="O234" s="42"/>
    </row>
    <row r="235" spans="1:15" ht="15.75" thickTop="1" x14ac:dyDescent="0.25">
      <c r="A235" s="42"/>
      <c r="B235" s="42"/>
      <c r="C235" s="42"/>
      <c r="D235" s="42"/>
      <c r="E235" s="42"/>
      <c r="F235" s="42"/>
      <c r="G235" s="42"/>
      <c r="H235" s="42"/>
      <c r="I235" s="42"/>
      <c r="J235" s="43"/>
      <c r="K235" s="42"/>
      <c r="L235" s="42"/>
      <c r="M235" s="42"/>
      <c r="N235" s="42"/>
      <c r="O235" s="42"/>
    </row>
    <row r="236" spans="1:15" ht="15.75" x14ac:dyDescent="0.25">
      <c r="A236" s="113" t="s">
        <v>102</v>
      </c>
      <c r="B236" s="42"/>
      <c r="C236" s="42"/>
      <c r="D236" s="42"/>
      <c r="E236" s="42"/>
      <c r="F236" s="42"/>
      <c r="G236" s="42"/>
      <c r="H236" s="42"/>
      <c r="I236" s="42"/>
      <c r="J236" s="43"/>
      <c r="K236" s="42"/>
      <c r="L236" s="42"/>
      <c r="M236" s="42"/>
      <c r="N236" s="42"/>
      <c r="O236" s="42"/>
    </row>
    <row r="237" spans="1:15" ht="15.75" x14ac:dyDescent="0.25">
      <c r="A237" s="113" t="s">
        <v>213</v>
      </c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6.5" thickBot="1" x14ac:dyDescent="0.3">
      <c r="A238" s="114" t="s">
        <v>214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7.25" thickTop="1" thickBot="1" x14ac:dyDescent="0.3">
      <c r="A239" s="295" t="s">
        <v>0</v>
      </c>
      <c r="B239" s="289" t="s">
        <v>1</v>
      </c>
      <c r="C239" s="409" t="s">
        <v>107</v>
      </c>
      <c r="D239" s="410"/>
      <c r="E239" s="410"/>
      <c r="F239" s="410"/>
      <c r="G239" s="410"/>
      <c r="H239" s="411"/>
      <c r="I239" s="42"/>
      <c r="J239" s="43"/>
      <c r="K239" s="42"/>
      <c r="L239" s="42"/>
      <c r="M239" s="42"/>
      <c r="N239" s="42"/>
      <c r="O239" s="42"/>
    </row>
    <row r="240" spans="1:15" ht="17.25" thickTop="1" thickBot="1" x14ac:dyDescent="0.3">
      <c r="A240" s="314"/>
      <c r="B240" s="291"/>
      <c r="C240" s="117">
        <v>-40</v>
      </c>
      <c r="D240" s="117">
        <v>-28</v>
      </c>
      <c r="E240" s="118">
        <v>-10.199999999999999</v>
      </c>
      <c r="F240" s="117">
        <v>-3.1</v>
      </c>
      <c r="G240" s="117">
        <v>15</v>
      </c>
      <c r="H240" s="117">
        <v>37</v>
      </c>
      <c r="I240" s="42"/>
      <c r="J240" s="43"/>
      <c r="K240" s="42"/>
      <c r="L240" s="42"/>
      <c r="M240" s="42"/>
      <c r="N240" s="42"/>
      <c r="O240" s="42"/>
    </row>
    <row r="241" spans="1:15" ht="25.5" thickTop="1" thickBot="1" x14ac:dyDescent="0.3">
      <c r="A241" s="294"/>
      <c r="B241" s="288"/>
      <c r="C241" s="308"/>
      <c r="D241" s="309"/>
      <c r="E241" s="309"/>
      <c r="F241" s="309"/>
      <c r="G241" s="310"/>
      <c r="H241" s="174" t="s">
        <v>215</v>
      </c>
      <c r="I241" s="42"/>
      <c r="J241" s="43"/>
      <c r="K241" s="42"/>
      <c r="L241" s="42"/>
      <c r="M241" s="42"/>
      <c r="N241" s="42"/>
      <c r="O241" s="42"/>
    </row>
    <row r="242" spans="1:15" ht="17.25" thickTop="1" thickBot="1" x14ac:dyDescent="0.3">
      <c r="A242" s="203"/>
      <c r="B242" s="117" t="s">
        <v>3</v>
      </c>
      <c r="C242" s="405" t="s">
        <v>165</v>
      </c>
      <c r="D242" s="406"/>
      <c r="E242" s="406"/>
      <c r="F242" s="406"/>
      <c r="G242" s="406"/>
      <c r="H242" s="407"/>
      <c r="I242" s="42"/>
      <c r="J242" s="43"/>
      <c r="K242" s="42"/>
      <c r="L242" s="42"/>
      <c r="M242" s="42"/>
      <c r="N242" s="42"/>
      <c r="O242" s="42"/>
    </row>
    <row r="243" spans="1:15" ht="17.25" thickTop="1" thickBot="1" x14ac:dyDescent="0.3">
      <c r="A243" s="302" t="s">
        <v>8</v>
      </c>
      <c r="B243" s="303"/>
      <c r="C243" s="303"/>
      <c r="D243" s="303"/>
      <c r="E243" s="303"/>
      <c r="F243" s="303"/>
      <c r="G243" s="303"/>
      <c r="H243" s="304"/>
      <c r="I243" s="42"/>
      <c r="J243" s="43"/>
      <c r="K243" s="42"/>
      <c r="L243" s="42"/>
      <c r="M243" s="42"/>
      <c r="N243" s="42"/>
      <c r="O243" s="42"/>
    </row>
    <row r="244" spans="1:15" ht="33" thickTop="1" thickBot="1" x14ac:dyDescent="0.3">
      <c r="A244" s="120">
        <v>1</v>
      </c>
      <c r="B244" s="121" t="s">
        <v>9</v>
      </c>
      <c r="C244" s="327">
        <v>50</v>
      </c>
      <c r="D244" s="328"/>
      <c r="E244" s="328"/>
      <c r="F244" s="328"/>
      <c r="G244" s="328"/>
      <c r="H244" s="329"/>
      <c r="I244" s="42"/>
      <c r="J244" s="43"/>
      <c r="K244" s="42"/>
      <c r="L244" s="42"/>
      <c r="M244" s="42"/>
      <c r="N244" s="42"/>
      <c r="O244" s="42"/>
    </row>
    <row r="245" spans="1:15" ht="17.25" thickTop="1" thickBot="1" x14ac:dyDescent="0.3">
      <c r="A245" s="122">
        <v>2</v>
      </c>
      <c r="B245" s="123" t="s">
        <v>10</v>
      </c>
      <c r="C245" s="125">
        <v>84.5</v>
      </c>
      <c r="D245" s="125">
        <v>84.5</v>
      </c>
      <c r="E245" s="131">
        <v>84.5</v>
      </c>
      <c r="F245" s="125">
        <v>82.6</v>
      </c>
      <c r="G245" s="125">
        <v>74.7</v>
      </c>
      <c r="H245" s="125">
        <v>64.5</v>
      </c>
      <c r="I245" s="42"/>
      <c r="J245" s="43"/>
      <c r="K245" s="42"/>
      <c r="L245" s="42"/>
      <c r="M245" s="42"/>
      <c r="N245" s="42"/>
      <c r="O245" s="42"/>
    </row>
    <row r="246" spans="1:15" ht="16.5" thickBot="1" x14ac:dyDescent="0.3">
      <c r="A246" s="120">
        <v>3</v>
      </c>
      <c r="B246" s="121" t="s">
        <v>11</v>
      </c>
      <c r="C246" s="117">
        <v>27.83</v>
      </c>
      <c r="D246" s="117">
        <v>27.82</v>
      </c>
      <c r="E246" s="118">
        <v>27.79</v>
      </c>
      <c r="F246" s="117">
        <v>27.61</v>
      </c>
      <c r="G246" s="117">
        <v>27.02</v>
      </c>
      <c r="H246" s="117">
        <v>25.93</v>
      </c>
      <c r="I246" s="42"/>
      <c r="J246" s="43"/>
      <c r="K246" s="42"/>
      <c r="L246" s="42"/>
      <c r="M246" s="42"/>
      <c r="N246" s="42"/>
      <c r="O246" s="42"/>
    </row>
    <row r="247" spans="1:15" ht="16.5" thickTop="1" x14ac:dyDescent="0.25">
      <c r="A247" s="330">
        <v>4</v>
      </c>
      <c r="B247" s="59" t="s">
        <v>12</v>
      </c>
      <c r="C247" s="289">
        <v>6.19</v>
      </c>
      <c r="D247" s="289">
        <v>6.19</v>
      </c>
      <c r="E247" s="295">
        <v>6.2</v>
      </c>
      <c r="F247" s="289">
        <v>6.09</v>
      </c>
      <c r="G247" s="289">
        <v>5.63</v>
      </c>
      <c r="H247" s="289">
        <v>5.07</v>
      </c>
      <c r="I247" s="42"/>
      <c r="J247" s="43"/>
      <c r="K247" s="42"/>
      <c r="L247" s="42"/>
      <c r="M247" s="42"/>
      <c r="N247" s="42"/>
      <c r="O247" s="42"/>
    </row>
    <row r="248" spans="1:15" ht="16.5" thickBot="1" x14ac:dyDescent="0.3">
      <c r="A248" s="331"/>
      <c r="B248" s="121" t="s">
        <v>13</v>
      </c>
      <c r="C248" s="288"/>
      <c r="D248" s="288"/>
      <c r="E248" s="294"/>
      <c r="F248" s="288"/>
      <c r="G248" s="288"/>
      <c r="H248" s="288"/>
      <c r="I248" s="42"/>
      <c r="J248" s="43"/>
      <c r="K248" s="42"/>
      <c r="L248" s="42"/>
      <c r="M248" s="42"/>
      <c r="N248" s="42"/>
      <c r="O248" s="42"/>
    </row>
    <row r="249" spans="1:15" ht="33" thickTop="1" thickBot="1" x14ac:dyDescent="0.3">
      <c r="A249" s="122">
        <v>5</v>
      </c>
      <c r="B249" s="123" t="s">
        <v>14</v>
      </c>
      <c r="C249" s="125">
        <v>357</v>
      </c>
      <c r="D249" s="125">
        <v>362</v>
      </c>
      <c r="E249" s="131">
        <v>370.2</v>
      </c>
      <c r="F249" s="125">
        <v>367.2</v>
      </c>
      <c r="G249" s="125">
        <v>347.7</v>
      </c>
      <c r="H249" s="125">
        <v>317.60000000000002</v>
      </c>
      <c r="I249" s="42"/>
      <c r="J249" s="43"/>
      <c r="K249" s="42"/>
      <c r="L249" s="42"/>
      <c r="M249" s="42"/>
      <c r="N249" s="42"/>
      <c r="O249" s="42"/>
    </row>
    <row r="250" spans="1:15" ht="32.25" thickBot="1" x14ac:dyDescent="0.3">
      <c r="A250" s="120">
        <v>6</v>
      </c>
      <c r="B250" s="121" t="s">
        <v>15</v>
      </c>
      <c r="C250" s="117">
        <v>510.4</v>
      </c>
      <c r="D250" s="117">
        <v>514.1</v>
      </c>
      <c r="E250" s="118">
        <v>519.4</v>
      </c>
      <c r="F250" s="117">
        <v>521.6</v>
      </c>
      <c r="G250" s="117">
        <v>528.9</v>
      </c>
      <c r="H250" s="117">
        <v>544.5</v>
      </c>
      <c r="I250" s="42"/>
      <c r="J250" s="43"/>
      <c r="K250" s="42"/>
      <c r="L250" s="42"/>
      <c r="M250" s="42"/>
      <c r="N250" s="42"/>
      <c r="O250" s="42"/>
    </row>
    <row r="251" spans="1:15" ht="17.25" thickTop="1" thickBot="1" x14ac:dyDescent="0.3">
      <c r="A251" s="302" t="s">
        <v>16</v>
      </c>
      <c r="B251" s="303"/>
      <c r="C251" s="303"/>
      <c r="D251" s="303"/>
      <c r="E251" s="303"/>
      <c r="F251" s="303"/>
      <c r="G251" s="303"/>
      <c r="H251" s="304"/>
      <c r="I251" s="42"/>
      <c r="J251" s="43"/>
      <c r="K251" s="42"/>
      <c r="L251" s="42"/>
      <c r="M251" s="42"/>
      <c r="N251" s="42"/>
      <c r="O251" s="42"/>
    </row>
    <row r="252" spans="1:15" ht="33" thickTop="1" thickBot="1" x14ac:dyDescent="0.3">
      <c r="A252" s="289">
        <v>7</v>
      </c>
      <c r="B252" s="123" t="s">
        <v>110</v>
      </c>
      <c r="C252" s="324"/>
      <c r="D252" s="325"/>
      <c r="E252" s="325"/>
      <c r="F252" s="325"/>
      <c r="G252" s="325"/>
      <c r="H252" s="326"/>
      <c r="I252" s="42"/>
      <c r="J252" s="43"/>
      <c r="K252" s="42"/>
      <c r="L252" s="42"/>
      <c r="M252" s="42"/>
      <c r="N252" s="42"/>
      <c r="O252" s="42"/>
    </row>
    <row r="253" spans="1:15" ht="16.5" thickBot="1" x14ac:dyDescent="0.3">
      <c r="A253" s="291"/>
      <c r="B253" s="121" t="s">
        <v>18</v>
      </c>
      <c r="C253" s="117">
        <v>445.8</v>
      </c>
      <c r="D253" s="117">
        <v>448.2</v>
      </c>
      <c r="E253" s="118">
        <v>451.8</v>
      </c>
      <c r="F253" s="117">
        <v>453</v>
      </c>
      <c r="G253" s="117">
        <v>456.9</v>
      </c>
      <c r="H253" s="117">
        <v>465.3</v>
      </c>
      <c r="I253" s="42"/>
      <c r="J253" s="43"/>
      <c r="K253" s="42"/>
      <c r="L253" s="42"/>
      <c r="M253" s="42"/>
      <c r="N253" s="42"/>
      <c r="O253" s="42"/>
    </row>
    <row r="254" spans="1:15" ht="17.25" thickTop="1" thickBot="1" x14ac:dyDescent="0.3">
      <c r="A254" s="291"/>
      <c r="B254" s="123" t="s">
        <v>19</v>
      </c>
      <c r="C254" s="125">
        <v>277.5</v>
      </c>
      <c r="D254" s="125">
        <v>279.3</v>
      </c>
      <c r="E254" s="131">
        <v>282</v>
      </c>
      <c r="F254" s="125">
        <v>281.89999999999998</v>
      </c>
      <c r="G254" s="125">
        <v>280</v>
      </c>
      <c r="H254" s="125">
        <v>277.3</v>
      </c>
      <c r="I254" s="42"/>
      <c r="J254" s="43"/>
      <c r="K254" s="42"/>
      <c r="L254" s="42"/>
      <c r="M254" s="42"/>
      <c r="N254" s="42"/>
      <c r="O254" s="42"/>
    </row>
    <row r="255" spans="1:15" ht="16.5" thickBot="1" x14ac:dyDescent="0.3">
      <c r="A255" s="291"/>
      <c r="B255" s="121" t="s">
        <v>20</v>
      </c>
      <c r="C255" s="117">
        <v>223.9</v>
      </c>
      <c r="D255" s="117">
        <v>224.3</v>
      </c>
      <c r="E255" s="118">
        <v>225.2</v>
      </c>
      <c r="F255" s="117">
        <v>224.8</v>
      </c>
      <c r="G255" s="117">
        <v>222.5</v>
      </c>
      <c r="H255" s="117">
        <v>218.9</v>
      </c>
      <c r="I255" s="42"/>
      <c r="J255" s="43"/>
      <c r="K255" s="42"/>
      <c r="L255" s="42"/>
      <c r="M255" s="42"/>
      <c r="N255" s="42"/>
      <c r="O255" s="42"/>
    </row>
    <row r="256" spans="1:15" ht="17.25" thickTop="1" thickBot="1" x14ac:dyDescent="0.3">
      <c r="A256" s="291"/>
      <c r="B256" s="123" t="s">
        <v>21</v>
      </c>
      <c r="C256" s="125">
        <v>220.7</v>
      </c>
      <c r="D256" s="125">
        <v>221.2</v>
      </c>
      <c r="E256" s="131">
        <v>222</v>
      </c>
      <c r="F256" s="125">
        <v>221.7</v>
      </c>
      <c r="G256" s="125">
        <v>219.4</v>
      </c>
      <c r="H256" s="125">
        <v>215.9</v>
      </c>
      <c r="I256" s="42"/>
      <c r="J256" s="43"/>
      <c r="K256" s="42"/>
      <c r="L256" s="42"/>
      <c r="M256" s="42"/>
      <c r="N256" s="42"/>
      <c r="O256" s="42"/>
    </row>
    <row r="257" spans="1:15" ht="16.5" thickBot="1" x14ac:dyDescent="0.3">
      <c r="A257" s="291"/>
      <c r="B257" s="121" t="s">
        <v>22</v>
      </c>
      <c r="C257" s="117">
        <v>161</v>
      </c>
      <c r="D257" s="117">
        <v>161.30000000000001</v>
      </c>
      <c r="E257" s="118">
        <v>161.80000000000001</v>
      </c>
      <c r="F257" s="117">
        <v>161.6</v>
      </c>
      <c r="G257" s="117">
        <v>160.19999999999999</v>
      </c>
      <c r="H257" s="117">
        <v>158.19999999999999</v>
      </c>
      <c r="I257" s="42"/>
      <c r="J257" s="43"/>
      <c r="K257" s="42"/>
      <c r="L257" s="42"/>
      <c r="M257" s="42"/>
      <c r="N257" s="42"/>
      <c r="O257" s="42"/>
    </row>
    <row r="258" spans="1:15" ht="17.25" thickTop="1" thickBot="1" x14ac:dyDescent="0.3">
      <c r="A258" s="290"/>
      <c r="B258" s="123" t="s">
        <v>23</v>
      </c>
      <c r="C258" s="125">
        <v>99.8</v>
      </c>
      <c r="D258" s="125">
        <v>101.5</v>
      </c>
      <c r="E258" s="131">
        <v>102.7</v>
      </c>
      <c r="F258" s="125">
        <v>103.3</v>
      </c>
      <c r="G258" s="125">
        <v>104</v>
      </c>
      <c r="H258" s="125">
        <v>92.1</v>
      </c>
      <c r="I258" s="42"/>
      <c r="J258" s="43"/>
      <c r="K258" s="42"/>
      <c r="L258" s="42"/>
      <c r="M258" s="42"/>
      <c r="N258" s="42"/>
      <c r="O258" s="42"/>
    </row>
    <row r="259" spans="1:15" ht="16.5" thickBot="1" x14ac:dyDescent="0.3">
      <c r="A259" s="287">
        <v>8</v>
      </c>
      <c r="B259" s="121" t="s">
        <v>24</v>
      </c>
      <c r="C259" s="318"/>
      <c r="D259" s="319"/>
      <c r="E259" s="319"/>
      <c r="F259" s="319"/>
      <c r="G259" s="319"/>
      <c r="H259" s="320"/>
      <c r="I259" s="42"/>
      <c r="J259" s="43"/>
      <c r="K259" s="42"/>
      <c r="L259" s="42"/>
      <c r="M259" s="42"/>
      <c r="N259" s="42"/>
      <c r="O259" s="42"/>
    </row>
    <row r="260" spans="1:15" ht="17.25" thickTop="1" thickBot="1" x14ac:dyDescent="0.3">
      <c r="A260" s="291"/>
      <c r="B260" s="123" t="s">
        <v>25</v>
      </c>
      <c r="C260" s="125">
        <v>41.97</v>
      </c>
      <c r="D260" s="125">
        <v>42.97</v>
      </c>
      <c r="E260" s="131">
        <v>44.5</v>
      </c>
      <c r="F260" s="125">
        <v>44.44</v>
      </c>
      <c r="G260" s="125">
        <v>43.17</v>
      </c>
      <c r="H260" s="125">
        <v>41.42</v>
      </c>
      <c r="I260" s="42"/>
      <c r="J260" s="43"/>
      <c r="K260" s="42"/>
      <c r="L260" s="42"/>
      <c r="M260" s="42"/>
      <c r="N260" s="42"/>
      <c r="O260" s="42"/>
    </row>
    <row r="261" spans="1:15" ht="16.5" thickBot="1" x14ac:dyDescent="0.3">
      <c r="A261" s="291"/>
      <c r="B261" s="121" t="s">
        <v>26</v>
      </c>
      <c r="C261" s="117">
        <v>5.5270000000000001</v>
      </c>
      <c r="D261" s="117">
        <v>5.6689999999999996</v>
      </c>
      <c r="E261" s="118">
        <v>5.8840000000000003</v>
      </c>
      <c r="F261" s="117">
        <v>5.8849999999999998</v>
      </c>
      <c r="G261" s="117">
        <v>5.7469999999999999</v>
      </c>
      <c r="H261" s="117">
        <v>5.5739999999999998</v>
      </c>
      <c r="I261" s="42"/>
      <c r="J261" s="43"/>
      <c r="K261" s="42"/>
      <c r="L261" s="42"/>
      <c r="M261" s="42"/>
      <c r="N261" s="42"/>
      <c r="O261" s="42"/>
    </row>
    <row r="262" spans="1:15" ht="17.25" thickTop="1" thickBot="1" x14ac:dyDescent="0.3">
      <c r="A262" s="290"/>
      <c r="B262" s="123" t="s">
        <v>27</v>
      </c>
      <c r="C262" s="125">
        <v>494.3</v>
      </c>
      <c r="D262" s="125">
        <v>497.1</v>
      </c>
      <c r="E262" s="131">
        <v>501.1</v>
      </c>
      <c r="F262" s="125">
        <v>503.1</v>
      </c>
      <c r="G262" s="125">
        <v>509.9</v>
      </c>
      <c r="H262" s="125">
        <v>524.1</v>
      </c>
      <c r="I262" s="42"/>
      <c r="J262" s="43"/>
      <c r="K262" s="42"/>
      <c r="L262" s="42"/>
      <c r="M262" s="42"/>
      <c r="N262" s="42"/>
      <c r="O262" s="42"/>
    </row>
    <row r="263" spans="1:15" ht="16.5" thickBot="1" x14ac:dyDescent="0.3">
      <c r="A263" s="287">
        <v>9</v>
      </c>
      <c r="B263" s="121" t="s">
        <v>28</v>
      </c>
      <c r="C263" s="318"/>
      <c r="D263" s="319"/>
      <c r="E263" s="319"/>
      <c r="F263" s="319"/>
      <c r="G263" s="319"/>
      <c r="H263" s="320"/>
      <c r="I263" s="42"/>
      <c r="J263" s="43"/>
      <c r="K263" s="42"/>
      <c r="L263" s="42"/>
      <c r="M263" s="42"/>
      <c r="N263" s="42"/>
      <c r="O263" s="42"/>
    </row>
    <row r="264" spans="1:15" ht="17.25" thickTop="1" thickBot="1" x14ac:dyDescent="0.3">
      <c r="A264" s="291"/>
      <c r="B264" s="121" t="s">
        <v>25</v>
      </c>
      <c r="C264" s="117">
        <v>10.57</v>
      </c>
      <c r="D264" s="117">
        <v>10.74</v>
      </c>
      <c r="E264" s="118">
        <v>11.04</v>
      </c>
      <c r="F264" s="117">
        <v>10.92</v>
      </c>
      <c r="G264" s="117">
        <v>10.17</v>
      </c>
      <c r="H264" s="117">
        <v>9.0299999999999994</v>
      </c>
      <c r="I264" s="42"/>
      <c r="J264" s="43"/>
      <c r="K264" s="42"/>
      <c r="L264" s="42"/>
      <c r="M264" s="42"/>
      <c r="N264" s="42"/>
      <c r="O264" s="42"/>
    </row>
    <row r="265" spans="1:15" ht="17.25" thickTop="1" thickBot="1" x14ac:dyDescent="0.3">
      <c r="A265" s="291"/>
      <c r="B265" s="123" t="s">
        <v>26</v>
      </c>
      <c r="C265" s="125">
        <v>0.46100000000000002</v>
      </c>
      <c r="D265" s="125">
        <v>0.46300000000000002</v>
      </c>
      <c r="E265" s="131">
        <v>0.46600000000000003</v>
      </c>
      <c r="F265" s="125">
        <v>0.46500000000000002</v>
      </c>
      <c r="G265" s="125">
        <v>0.45700000000000002</v>
      </c>
      <c r="H265" s="125">
        <v>0.44600000000000001</v>
      </c>
      <c r="I265" s="42"/>
      <c r="J265" s="43"/>
      <c r="K265" s="42"/>
      <c r="L265" s="42"/>
      <c r="M265" s="42"/>
      <c r="N265" s="42"/>
      <c r="O265" s="42"/>
    </row>
    <row r="266" spans="1:15" ht="16.5" thickBot="1" x14ac:dyDescent="0.3">
      <c r="A266" s="288"/>
      <c r="B266" s="121" t="s">
        <v>27</v>
      </c>
      <c r="C266" s="117">
        <v>200.9</v>
      </c>
      <c r="D266" s="117">
        <v>201.1</v>
      </c>
      <c r="E266" s="118">
        <v>201.5</v>
      </c>
      <c r="F266" s="117">
        <v>201.3</v>
      </c>
      <c r="G266" s="117">
        <v>200.4</v>
      </c>
      <c r="H266" s="117">
        <v>199</v>
      </c>
      <c r="I266" s="42"/>
      <c r="J266" s="43">
        <f>C261-C270</f>
        <v>0.32800000000000029</v>
      </c>
      <c r="K266" s="42"/>
      <c r="L266" s="42"/>
      <c r="M266" s="42"/>
      <c r="N266" s="42"/>
      <c r="O266" s="42"/>
    </row>
    <row r="267" spans="1:15" ht="17.25" thickTop="1" thickBot="1" x14ac:dyDescent="0.3">
      <c r="A267" s="302" t="s">
        <v>29</v>
      </c>
      <c r="B267" s="303"/>
      <c r="C267" s="303"/>
      <c r="D267" s="303"/>
      <c r="E267" s="303"/>
      <c r="F267" s="303"/>
      <c r="G267" s="303"/>
      <c r="H267" s="304"/>
      <c r="I267" s="42"/>
      <c r="J267" s="43"/>
      <c r="K267" s="42"/>
      <c r="L267" s="42"/>
      <c r="M267" s="42"/>
      <c r="N267" s="42"/>
      <c r="O267" s="42"/>
    </row>
    <row r="268" spans="1:15" ht="33" thickTop="1" thickBot="1" x14ac:dyDescent="0.3">
      <c r="A268" s="295">
        <v>10</v>
      </c>
      <c r="B268" s="121" t="s">
        <v>30</v>
      </c>
      <c r="C268" s="315"/>
      <c r="D268" s="316"/>
      <c r="E268" s="316"/>
      <c r="F268" s="316"/>
      <c r="G268" s="316"/>
      <c r="H268" s="317"/>
      <c r="I268" s="42"/>
      <c r="J268" s="43"/>
      <c r="K268" s="42"/>
      <c r="L268" s="42"/>
      <c r="M268" s="42"/>
      <c r="N268" s="42"/>
      <c r="O268" s="42"/>
    </row>
    <row r="269" spans="1:15" ht="17.25" thickTop="1" thickBot="1" x14ac:dyDescent="0.3">
      <c r="A269" s="314"/>
      <c r="B269" s="123" t="s">
        <v>25</v>
      </c>
      <c r="C269" s="125">
        <v>41.97</v>
      </c>
      <c r="D269" s="125">
        <v>42.97</v>
      </c>
      <c r="E269" s="131">
        <v>44.5</v>
      </c>
      <c r="F269" s="125">
        <v>44.44</v>
      </c>
      <c r="G269" s="125">
        <v>43.17</v>
      </c>
      <c r="H269" s="125">
        <v>41.42</v>
      </c>
      <c r="I269" s="42"/>
      <c r="J269" s="43"/>
      <c r="K269" s="42"/>
      <c r="L269" s="42"/>
      <c r="M269" s="42"/>
      <c r="N269" s="42"/>
      <c r="O269" s="42"/>
    </row>
    <row r="270" spans="1:15" ht="16.5" thickBot="1" x14ac:dyDescent="0.3">
      <c r="A270" s="314"/>
      <c r="B270" s="121" t="s">
        <v>26</v>
      </c>
      <c r="C270" s="117">
        <v>5.1989999999999998</v>
      </c>
      <c r="D270" s="117">
        <v>5.3310000000000004</v>
      </c>
      <c r="E270" s="118">
        <v>5.5289999999999999</v>
      </c>
      <c r="F270" s="117">
        <v>5.53</v>
      </c>
      <c r="G270" s="117">
        <v>5.4039999999999999</v>
      </c>
      <c r="H270" s="117">
        <v>5.2460000000000004</v>
      </c>
      <c r="I270" s="42"/>
      <c r="J270" s="43"/>
      <c r="K270" s="42"/>
      <c r="L270" s="42"/>
      <c r="M270" s="42"/>
      <c r="N270" s="42"/>
      <c r="O270" s="42"/>
    </row>
    <row r="271" spans="1:15" ht="17.25" thickTop="1" thickBot="1" x14ac:dyDescent="0.3">
      <c r="A271" s="293"/>
      <c r="B271" s="123" t="s">
        <v>32</v>
      </c>
      <c r="C271" s="125">
        <v>492.2</v>
      </c>
      <c r="D271" s="125">
        <v>495</v>
      </c>
      <c r="E271" s="131">
        <v>499</v>
      </c>
      <c r="F271" s="125">
        <v>500.9</v>
      </c>
      <c r="G271" s="125">
        <v>507.8</v>
      </c>
      <c r="H271" s="125">
        <v>522.1</v>
      </c>
      <c r="I271" s="42"/>
      <c r="J271" s="43"/>
      <c r="K271" s="42"/>
      <c r="L271" s="42"/>
      <c r="M271" s="42"/>
      <c r="N271" s="42"/>
      <c r="O271" s="42"/>
    </row>
    <row r="272" spans="1:15" ht="32.25" thickBot="1" x14ac:dyDescent="0.3">
      <c r="A272" s="292">
        <v>11</v>
      </c>
      <c r="B272" s="121" t="s">
        <v>33</v>
      </c>
      <c r="C272" s="318"/>
      <c r="D272" s="319"/>
      <c r="E272" s="319"/>
      <c r="F272" s="319"/>
      <c r="G272" s="319"/>
      <c r="H272" s="320"/>
      <c r="I272" s="42"/>
      <c r="J272" s="43"/>
      <c r="K272" s="42"/>
      <c r="L272" s="42"/>
      <c r="M272" s="42"/>
      <c r="N272" s="42"/>
      <c r="O272" s="42"/>
    </row>
    <row r="273" spans="1:15" ht="17.25" thickTop="1" thickBot="1" x14ac:dyDescent="0.3">
      <c r="A273" s="314"/>
      <c r="B273" s="123" t="s">
        <v>25</v>
      </c>
      <c r="C273" s="125">
        <v>10.57</v>
      </c>
      <c r="D273" s="125">
        <v>10.74</v>
      </c>
      <c r="E273" s="131">
        <v>11.04</v>
      </c>
      <c r="F273" s="125">
        <v>10.92</v>
      </c>
      <c r="G273" s="125">
        <v>10.17</v>
      </c>
      <c r="H273" s="125">
        <v>9.0299999999999994</v>
      </c>
      <c r="I273" s="42"/>
      <c r="J273" s="43"/>
      <c r="K273" s="42"/>
      <c r="L273" s="42"/>
      <c r="M273" s="42"/>
      <c r="N273" s="42"/>
      <c r="O273" s="42"/>
    </row>
    <row r="274" spans="1:15" ht="16.5" thickBot="1" x14ac:dyDescent="0.3">
      <c r="A274" s="314"/>
      <c r="B274" s="121" t="s">
        <v>26</v>
      </c>
      <c r="C274" s="117">
        <v>0.4</v>
      </c>
      <c r="D274" s="117">
        <v>0.4</v>
      </c>
      <c r="E274" s="118">
        <v>0.4</v>
      </c>
      <c r="F274" s="117">
        <v>0.4</v>
      </c>
      <c r="G274" s="117">
        <v>0.4</v>
      </c>
      <c r="H274" s="117">
        <v>0.4</v>
      </c>
      <c r="I274" s="42"/>
      <c r="J274" s="169">
        <f>E274-E278</f>
        <v>1.8000000000000016E-2</v>
      </c>
      <c r="K274" s="169">
        <f>F274-F278</f>
        <v>1.9000000000000017E-2</v>
      </c>
      <c r="L274" s="169">
        <f>G274-G278</f>
        <v>3.3000000000000029E-2</v>
      </c>
      <c r="M274" s="169">
        <f>H274-H278</f>
        <v>4.9000000000000044E-2</v>
      </c>
      <c r="N274" s="42"/>
      <c r="O274" s="42"/>
    </row>
    <row r="275" spans="1:15" ht="17.25" thickTop="1" thickBot="1" x14ac:dyDescent="0.3">
      <c r="A275" s="293"/>
      <c r="B275" s="123" t="s">
        <v>27</v>
      </c>
      <c r="C275" s="125">
        <v>199.4</v>
      </c>
      <c r="D275" s="125">
        <v>199.6</v>
      </c>
      <c r="E275" s="131">
        <v>199.8</v>
      </c>
      <c r="F275" s="125">
        <v>199.7</v>
      </c>
      <c r="G275" s="125">
        <v>199</v>
      </c>
      <c r="H275" s="125">
        <v>197.8</v>
      </c>
      <c r="I275" s="42"/>
      <c r="J275" s="43"/>
      <c r="K275" s="42"/>
      <c r="L275" s="42"/>
      <c r="M275" s="42"/>
      <c r="N275" s="42"/>
      <c r="O275" s="42"/>
    </row>
    <row r="276" spans="1:15" ht="16.5" thickBot="1" x14ac:dyDescent="0.3">
      <c r="A276" s="292">
        <v>12</v>
      </c>
      <c r="B276" s="123" t="s">
        <v>34</v>
      </c>
      <c r="C276" s="321"/>
      <c r="D276" s="322"/>
      <c r="E276" s="322"/>
      <c r="F276" s="322"/>
      <c r="G276" s="322"/>
      <c r="H276" s="323"/>
      <c r="I276" s="42"/>
      <c r="J276" s="43"/>
      <c r="K276" s="42"/>
      <c r="L276" s="42"/>
      <c r="M276" s="42"/>
      <c r="N276" s="42"/>
      <c r="O276" s="42"/>
    </row>
    <row r="277" spans="1:15" ht="16.5" thickBot="1" x14ac:dyDescent="0.3">
      <c r="A277" s="314"/>
      <c r="B277" s="121" t="s">
        <v>31</v>
      </c>
      <c r="C277" s="117">
        <v>52.33</v>
      </c>
      <c r="D277" s="117">
        <v>53.5</v>
      </c>
      <c r="E277" s="118">
        <v>55.33</v>
      </c>
      <c r="F277" s="117">
        <v>55.2</v>
      </c>
      <c r="G277" s="117">
        <v>53.14</v>
      </c>
      <c r="H277" s="117">
        <v>50.25</v>
      </c>
      <c r="I277" s="42"/>
      <c r="J277" s="43"/>
      <c r="K277" s="42"/>
      <c r="L277" s="42"/>
      <c r="M277" s="42"/>
      <c r="N277" s="42"/>
      <c r="O277" s="42"/>
    </row>
    <row r="278" spans="1:15" ht="17.25" thickTop="1" thickBot="1" x14ac:dyDescent="0.3">
      <c r="A278" s="314"/>
      <c r="B278" s="123" t="s">
        <v>26</v>
      </c>
      <c r="C278" s="125">
        <v>0.36</v>
      </c>
      <c r="D278" s="125">
        <v>0.36899999999999999</v>
      </c>
      <c r="E278" s="131">
        <v>0.38200000000000001</v>
      </c>
      <c r="F278" s="125">
        <v>0.38100000000000001</v>
      </c>
      <c r="G278" s="125">
        <v>0.36699999999999999</v>
      </c>
      <c r="H278" s="125">
        <v>0.35099999999999998</v>
      </c>
      <c r="I278" s="42"/>
      <c r="J278" s="43"/>
      <c r="K278" s="42"/>
      <c r="L278" s="42"/>
      <c r="M278" s="42"/>
      <c r="N278" s="42"/>
      <c r="O278" s="42"/>
    </row>
    <row r="279" spans="1:15" ht="16.5" thickBot="1" x14ac:dyDescent="0.3">
      <c r="A279" s="294"/>
      <c r="B279" s="121" t="s">
        <v>35</v>
      </c>
      <c r="C279" s="117">
        <v>191.9</v>
      </c>
      <c r="D279" s="117">
        <v>193.2</v>
      </c>
      <c r="E279" s="118">
        <v>195.2</v>
      </c>
      <c r="F279" s="117">
        <v>196</v>
      </c>
      <c r="G279" s="117">
        <v>196.1</v>
      </c>
      <c r="H279" s="117">
        <v>205.8</v>
      </c>
      <c r="I279" s="42"/>
      <c r="J279" s="43"/>
      <c r="K279" s="42"/>
      <c r="L279" s="42"/>
      <c r="M279" s="42"/>
      <c r="N279" s="42"/>
      <c r="O279" s="42"/>
    </row>
    <row r="280" spans="1:15" ht="17.25" thickTop="1" thickBot="1" x14ac:dyDescent="0.3">
      <c r="A280" s="295">
        <v>13</v>
      </c>
      <c r="B280" s="130" t="s">
        <v>36</v>
      </c>
      <c r="C280" s="366"/>
      <c r="D280" s="367"/>
      <c r="E280" s="367"/>
      <c r="F280" s="367"/>
      <c r="G280" s="367"/>
      <c r="H280" s="368"/>
      <c r="I280" s="42"/>
      <c r="J280" s="43"/>
      <c r="K280" s="42"/>
      <c r="L280" s="42"/>
      <c r="M280" s="42"/>
      <c r="N280" s="42"/>
      <c r="O280" s="42"/>
    </row>
    <row r="281" spans="1:15" ht="16.5" thickBot="1" x14ac:dyDescent="0.3">
      <c r="A281" s="314"/>
      <c r="B281" s="121" t="s">
        <v>31</v>
      </c>
      <c r="C281" s="117">
        <v>0</v>
      </c>
      <c r="D281" s="117">
        <v>0</v>
      </c>
      <c r="E281" s="117">
        <v>0</v>
      </c>
      <c r="F281" s="117">
        <v>0</v>
      </c>
      <c r="G281" s="117">
        <v>0</v>
      </c>
      <c r="H281" s="117">
        <v>0</v>
      </c>
      <c r="I281" s="42"/>
      <c r="J281" s="43"/>
      <c r="K281" s="42"/>
      <c r="L281" s="42"/>
      <c r="M281" s="42"/>
      <c r="N281" s="42"/>
      <c r="O281" s="42"/>
    </row>
    <row r="282" spans="1:15" ht="17.25" thickTop="1" thickBot="1" x14ac:dyDescent="0.3">
      <c r="A282" s="314"/>
      <c r="B282" s="123" t="s">
        <v>26</v>
      </c>
      <c r="C282" s="126">
        <v>0.15</v>
      </c>
      <c r="D282" s="125">
        <v>0.15379999999999999</v>
      </c>
      <c r="E282" s="125">
        <v>0.1595</v>
      </c>
      <c r="F282" s="125">
        <v>0.15909999999999999</v>
      </c>
      <c r="G282" s="126">
        <v>0.153</v>
      </c>
      <c r="H282" s="123">
        <v>0.1469</v>
      </c>
      <c r="I282" s="42"/>
      <c r="J282" s="42">
        <f>C274-C278</f>
        <v>4.0000000000000036E-2</v>
      </c>
      <c r="K282" s="42"/>
      <c r="L282" s="42"/>
      <c r="M282" s="42"/>
      <c r="N282" s="42"/>
      <c r="O282" s="42"/>
    </row>
    <row r="283" spans="1:15" ht="16.5" thickBot="1" x14ac:dyDescent="0.3">
      <c r="A283" s="294"/>
      <c r="B283" s="121" t="s">
        <v>27</v>
      </c>
      <c r="C283" s="128">
        <v>119.3</v>
      </c>
      <c r="D283" s="117">
        <v>120.4</v>
      </c>
      <c r="E283" s="117">
        <v>122.1</v>
      </c>
      <c r="F283" s="117">
        <v>122.9</v>
      </c>
      <c r="G283" s="118">
        <v>122.1</v>
      </c>
      <c r="H283" s="118">
        <v>131.6</v>
      </c>
      <c r="I283" s="42"/>
      <c r="J283" s="43"/>
      <c r="K283" s="42"/>
      <c r="L283" s="42"/>
      <c r="M283" s="42"/>
      <c r="N283" s="42"/>
      <c r="O283" s="42"/>
    </row>
    <row r="284" spans="1:15" ht="17.25" thickTop="1" thickBot="1" x14ac:dyDescent="0.3">
      <c r="A284" s="295">
        <v>14</v>
      </c>
      <c r="B284" s="121" t="s">
        <v>37</v>
      </c>
      <c r="C284" s="308"/>
      <c r="D284" s="309"/>
      <c r="E284" s="309"/>
      <c r="F284" s="309"/>
      <c r="G284" s="309"/>
      <c r="H284" s="310"/>
      <c r="I284" s="42"/>
      <c r="J284" s="43"/>
      <c r="K284" s="42"/>
      <c r="L284" s="42"/>
      <c r="M284" s="42"/>
      <c r="N284" s="42"/>
      <c r="O284" s="42"/>
    </row>
    <row r="285" spans="1:15" ht="17.25" thickTop="1" thickBot="1" x14ac:dyDescent="0.3">
      <c r="A285" s="314"/>
      <c r="B285" s="123" t="s">
        <v>31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42"/>
      <c r="J285" s="43">
        <f>C273+C269</f>
        <v>52.54</v>
      </c>
      <c r="K285" s="42"/>
      <c r="L285" s="42"/>
      <c r="M285" s="42"/>
      <c r="N285" s="42"/>
      <c r="O285" s="42"/>
    </row>
    <row r="286" spans="1:15" ht="16.5" thickBot="1" x14ac:dyDescent="0.3">
      <c r="A286" s="314"/>
      <c r="B286" s="121" t="s">
        <v>26</v>
      </c>
      <c r="C286" s="128">
        <v>6.4699999999999994E-2</v>
      </c>
      <c r="D286" s="117">
        <v>6.6299999999999998E-2</v>
      </c>
      <c r="E286" s="117">
        <v>6.88E-2</v>
      </c>
      <c r="F286" s="117">
        <v>6.8599999999999994E-2</v>
      </c>
      <c r="G286" s="128">
        <v>6.6000000000000003E-2</v>
      </c>
      <c r="H286" s="121">
        <v>6.4000000000000001E-2</v>
      </c>
      <c r="I286" s="42"/>
      <c r="J286" s="43"/>
      <c r="K286" s="42"/>
      <c r="L286" s="42"/>
      <c r="M286" s="42"/>
      <c r="N286" s="42"/>
      <c r="O286" s="42"/>
    </row>
    <row r="287" spans="1:15" ht="17.25" thickTop="1" thickBot="1" x14ac:dyDescent="0.3">
      <c r="A287" s="293"/>
      <c r="B287" s="123" t="s">
        <v>27</v>
      </c>
      <c r="C287" s="131">
        <v>87.9</v>
      </c>
      <c r="D287" s="125">
        <v>88.5</v>
      </c>
      <c r="E287" s="125">
        <v>89.5</v>
      </c>
      <c r="F287" s="125">
        <v>89.4</v>
      </c>
      <c r="G287" s="131">
        <v>88.4</v>
      </c>
      <c r="H287" s="131">
        <v>87.6</v>
      </c>
      <c r="I287" s="42"/>
      <c r="J287" s="43"/>
      <c r="K287" s="42"/>
      <c r="L287" s="42"/>
      <c r="M287" s="42"/>
      <c r="N287" s="42"/>
      <c r="O287" s="42"/>
    </row>
    <row r="288" spans="1:15" ht="16.5" thickBot="1" x14ac:dyDescent="0.3">
      <c r="A288" s="292">
        <v>15</v>
      </c>
      <c r="B288" s="121" t="s">
        <v>38</v>
      </c>
      <c r="C288" s="318"/>
      <c r="D288" s="319"/>
      <c r="E288" s="319"/>
      <c r="F288" s="319"/>
      <c r="G288" s="319"/>
      <c r="H288" s="320"/>
      <c r="I288" s="42"/>
      <c r="J288" s="43"/>
      <c r="K288" s="42"/>
      <c r="L288" s="42"/>
      <c r="M288" s="42"/>
      <c r="N288" s="42"/>
      <c r="O288" s="42"/>
    </row>
    <row r="289" spans="1:15" ht="17.25" thickTop="1" thickBot="1" x14ac:dyDescent="0.3">
      <c r="A289" s="314"/>
      <c r="B289" s="123" t="s">
        <v>31</v>
      </c>
      <c r="C289" s="126">
        <v>52.33</v>
      </c>
      <c r="D289" s="125">
        <v>53.5</v>
      </c>
      <c r="E289" s="125">
        <v>55.33</v>
      </c>
      <c r="F289" s="125">
        <v>55.17</v>
      </c>
      <c r="G289" s="131">
        <v>53.14</v>
      </c>
      <c r="H289" s="131">
        <v>50.25</v>
      </c>
      <c r="I289" s="42"/>
      <c r="J289" s="43"/>
      <c r="K289" s="42"/>
      <c r="L289" s="42"/>
      <c r="M289" s="42"/>
      <c r="N289" s="42"/>
      <c r="O289" s="42"/>
    </row>
    <row r="290" spans="1:15" ht="16.5" thickBot="1" x14ac:dyDescent="0.3">
      <c r="A290" s="314"/>
      <c r="B290" s="121" t="s">
        <v>27</v>
      </c>
      <c r="C290" s="118">
        <v>87.9</v>
      </c>
      <c r="D290" s="117">
        <v>88.5</v>
      </c>
      <c r="E290" s="117">
        <v>89.5</v>
      </c>
      <c r="F290" s="117">
        <v>89.4</v>
      </c>
      <c r="G290" s="118">
        <v>88.5</v>
      </c>
      <c r="H290" s="118">
        <v>87.6</v>
      </c>
      <c r="I290" s="42"/>
      <c r="J290" s="43"/>
      <c r="L290" s="42"/>
      <c r="M290" s="42"/>
      <c r="N290" s="42"/>
      <c r="O290" s="42"/>
    </row>
    <row r="291" spans="1:15" ht="48.75" thickTop="1" thickBot="1" x14ac:dyDescent="0.3">
      <c r="A291" s="293"/>
      <c r="B291" s="123" t="s">
        <v>122</v>
      </c>
      <c r="C291" s="126" t="s">
        <v>217</v>
      </c>
      <c r="D291" s="125" t="s">
        <v>218</v>
      </c>
      <c r="E291" s="125" t="s">
        <v>123</v>
      </c>
      <c r="F291" s="125" t="s">
        <v>219</v>
      </c>
      <c r="G291" s="131" t="s">
        <v>41</v>
      </c>
      <c r="H291" s="131" t="s">
        <v>220</v>
      </c>
      <c r="I291" s="42"/>
      <c r="J291" s="43"/>
      <c r="K291" s="42"/>
      <c r="L291" s="42"/>
      <c r="M291" s="42"/>
      <c r="N291" s="42"/>
      <c r="O291" s="42"/>
    </row>
    <row r="292" spans="1:15" ht="16.5" thickBot="1" x14ac:dyDescent="0.3">
      <c r="A292" s="292">
        <v>16</v>
      </c>
      <c r="B292" s="121" t="s">
        <v>53</v>
      </c>
      <c r="C292" s="318"/>
      <c r="D292" s="319"/>
      <c r="E292" s="319"/>
      <c r="F292" s="319"/>
      <c r="G292" s="319"/>
      <c r="H292" s="320"/>
      <c r="I292" s="42"/>
      <c r="J292" s="43"/>
      <c r="K292" s="42"/>
      <c r="L292" s="42"/>
      <c r="M292" s="42"/>
      <c r="N292" s="42"/>
      <c r="O292" s="42"/>
    </row>
    <row r="293" spans="1:15" ht="17.25" thickTop="1" thickBot="1" x14ac:dyDescent="0.3">
      <c r="A293" s="314"/>
      <c r="B293" s="123" t="s">
        <v>31</v>
      </c>
      <c r="C293" s="131">
        <v>52.3</v>
      </c>
      <c r="D293" s="125">
        <v>53.5</v>
      </c>
      <c r="E293" s="125">
        <v>55.33</v>
      </c>
      <c r="F293" s="125">
        <v>55.17</v>
      </c>
      <c r="G293" s="131">
        <v>53.14</v>
      </c>
      <c r="H293" s="131">
        <v>50.25</v>
      </c>
      <c r="I293" s="42"/>
      <c r="J293" s="43"/>
      <c r="K293" s="42"/>
      <c r="L293" s="42"/>
      <c r="M293" s="42"/>
      <c r="N293" s="42"/>
      <c r="O293" s="42"/>
    </row>
    <row r="294" spans="1:15" ht="16.5" thickBot="1" x14ac:dyDescent="0.3">
      <c r="A294" s="314"/>
      <c r="B294" s="123" t="s">
        <v>26</v>
      </c>
      <c r="C294" s="126">
        <v>4.7999999999999996E-3</v>
      </c>
      <c r="D294" s="125">
        <v>5.7000000000000002E-3</v>
      </c>
      <c r="E294" s="125">
        <v>6.6E-3</v>
      </c>
      <c r="F294" s="125">
        <v>7.3000000000000001E-3</v>
      </c>
      <c r="G294" s="126">
        <v>9.1999999999999998E-3</v>
      </c>
      <c r="H294" s="123">
        <v>1.47E-2</v>
      </c>
      <c r="I294" s="42"/>
      <c r="J294" s="43"/>
      <c r="K294" s="42"/>
      <c r="L294" s="42"/>
      <c r="M294" s="42"/>
      <c r="N294" s="42"/>
      <c r="O294" s="42"/>
    </row>
    <row r="295" spans="1:15" ht="48" thickBot="1" x14ac:dyDescent="0.3">
      <c r="A295" s="294"/>
      <c r="B295" s="121" t="s">
        <v>122</v>
      </c>
      <c r="C295" s="128" t="s">
        <v>221</v>
      </c>
      <c r="D295" s="117" t="s">
        <v>222</v>
      </c>
      <c r="E295" s="117" t="s">
        <v>192</v>
      </c>
      <c r="F295" s="117" t="s">
        <v>223</v>
      </c>
      <c r="G295" s="118" t="s">
        <v>224</v>
      </c>
      <c r="H295" s="118" t="s">
        <v>225</v>
      </c>
      <c r="I295" s="42"/>
      <c r="J295" s="43"/>
      <c r="K295" s="42"/>
      <c r="L295" s="42"/>
      <c r="M295" s="42"/>
      <c r="N295" s="42"/>
      <c r="O295" s="42"/>
    </row>
    <row r="296" spans="1:15" ht="17.25" thickTop="1" thickBot="1" x14ac:dyDescent="0.3">
      <c r="A296" s="302" t="s">
        <v>63</v>
      </c>
      <c r="B296" s="303"/>
      <c r="C296" s="303"/>
      <c r="D296" s="303"/>
      <c r="E296" s="303"/>
      <c r="F296" s="303"/>
      <c r="G296" s="303"/>
      <c r="H296" s="304"/>
      <c r="I296" s="42"/>
      <c r="J296" s="43"/>
      <c r="K296" s="42"/>
      <c r="L296" s="42"/>
      <c r="M296" s="42"/>
      <c r="N296" s="42"/>
      <c r="O296" s="42"/>
    </row>
    <row r="297" spans="1:15" ht="17.25" thickTop="1" thickBot="1" x14ac:dyDescent="0.3">
      <c r="A297" s="134">
        <v>17</v>
      </c>
      <c r="B297" s="121" t="s">
        <v>26</v>
      </c>
      <c r="C297" s="128">
        <v>4.7999999999999996E-3</v>
      </c>
      <c r="D297" s="117">
        <v>5.7000000000000002E-3</v>
      </c>
      <c r="E297" s="117">
        <v>6.6E-3</v>
      </c>
      <c r="F297" s="117">
        <v>7.3000000000000001E-3</v>
      </c>
      <c r="G297" s="128">
        <v>9.1999999999999998E-3</v>
      </c>
      <c r="H297" s="121">
        <v>1.47E-2</v>
      </c>
      <c r="I297" s="42"/>
      <c r="J297" s="43"/>
      <c r="K297" s="42"/>
      <c r="L297" s="42"/>
      <c r="M297" s="42"/>
      <c r="N297" s="42"/>
      <c r="O297" s="42"/>
    </row>
    <row r="298" spans="1:15" ht="33" thickTop="1" thickBot="1" x14ac:dyDescent="0.3">
      <c r="A298" s="135">
        <v>18</v>
      </c>
      <c r="B298" s="123" t="s">
        <v>64</v>
      </c>
      <c r="C298" s="131">
        <v>32</v>
      </c>
      <c r="D298" s="125">
        <v>35.4</v>
      </c>
      <c r="E298" s="125">
        <v>37.9</v>
      </c>
      <c r="F298" s="125">
        <v>39.9</v>
      </c>
      <c r="G298" s="131">
        <v>44.3</v>
      </c>
      <c r="H298" s="131">
        <v>53.55</v>
      </c>
      <c r="I298" s="42"/>
      <c r="J298" s="43"/>
      <c r="K298" s="42"/>
      <c r="L298" s="42"/>
      <c r="M298" s="42"/>
      <c r="N298" s="42"/>
      <c r="O298" s="42"/>
    </row>
    <row r="299" spans="1:15" ht="32.25" thickBot="1" x14ac:dyDescent="0.3">
      <c r="A299" s="134">
        <v>19</v>
      </c>
      <c r="B299" s="121" t="s">
        <v>65</v>
      </c>
      <c r="C299" s="128">
        <v>3611</v>
      </c>
      <c r="D299" s="117">
        <v>3611</v>
      </c>
      <c r="E299" s="117">
        <v>3611</v>
      </c>
      <c r="F299" s="117">
        <v>3611</v>
      </c>
      <c r="G299" s="118">
        <v>3611</v>
      </c>
      <c r="H299" s="118">
        <v>3611</v>
      </c>
      <c r="I299" s="42"/>
      <c r="J299" s="43"/>
      <c r="K299" s="42"/>
      <c r="L299" s="42"/>
      <c r="M299" s="42"/>
      <c r="N299" s="42"/>
      <c r="O299" s="42"/>
    </row>
    <row r="300" spans="1:15" ht="33" thickTop="1" thickBot="1" x14ac:dyDescent="0.3">
      <c r="A300" s="135">
        <v>20</v>
      </c>
      <c r="B300" s="123" t="s">
        <v>127</v>
      </c>
      <c r="C300" s="131">
        <v>13</v>
      </c>
      <c r="D300" s="125">
        <v>16</v>
      </c>
      <c r="E300" s="125">
        <v>18</v>
      </c>
      <c r="F300" s="125">
        <v>20</v>
      </c>
      <c r="G300" s="136">
        <v>25</v>
      </c>
      <c r="H300" s="136">
        <v>35</v>
      </c>
      <c r="I300" s="42"/>
      <c r="J300" s="43"/>
      <c r="K300" s="42"/>
      <c r="L300" s="42"/>
      <c r="M300" s="42"/>
      <c r="N300" s="42"/>
      <c r="O300" s="42"/>
    </row>
    <row r="301" spans="1:15" ht="32.25" thickBot="1" x14ac:dyDescent="0.3">
      <c r="A301" s="207">
        <v>21</v>
      </c>
      <c r="B301" s="121" t="s">
        <v>128</v>
      </c>
      <c r="C301" s="118">
        <v>20.7</v>
      </c>
      <c r="D301" s="117">
        <v>23.9</v>
      </c>
      <c r="E301" s="117">
        <v>26.2</v>
      </c>
      <c r="F301" s="117">
        <v>28.1</v>
      </c>
      <c r="G301" s="118">
        <v>32.799999999999997</v>
      </c>
      <c r="H301" s="118">
        <v>42.5</v>
      </c>
      <c r="I301" s="42"/>
      <c r="J301" s="43"/>
      <c r="K301" s="42"/>
      <c r="L301" s="42"/>
      <c r="M301" s="42"/>
      <c r="N301" s="42"/>
      <c r="O301" s="42"/>
    </row>
    <row r="302" spans="1:15" ht="32.25" thickTop="1" x14ac:dyDescent="0.25">
      <c r="A302" s="207">
        <v>22</v>
      </c>
      <c r="B302" s="59" t="s">
        <v>129</v>
      </c>
      <c r="C302" s="99"/>
      <c r="D302" s="139"/>
      <c r="E302" s="139"/>
      <c r="F302" s="99"/>
      <c r="G302" s="139"/>
      <c r="H302" s="139"/>
      <c r="I302" s="42"/>
      <c r="J302" s="43"/>
      <c r="K302" s="42"/>
      <c r="L302" s="42"/>
      <c r="M302" s="42"/>
      <c r="N302" s="42"/>
      <c r="O302" s="42"/>
    </row>
    <row r="303" spans="1:15" ht="16.5" thickBot="1" x14ac:dyDescent="0.3">
      <c r="A303" s="208"/>
      <c r="B303" s="123" t="s">
        <v>130</v>
      </c>
      <c r="C303" s="131">
        <v>34.700000000000003</v>
      </c>
      <c r="D303" s="125">
        <v>38.1</v>
      </c>
      <c r="E303" s="125">
        <v>40.700000000000003</v>
      </c>
      <c r="F303" s="125">
        <v>42.6</v>
      </c>
      <c r="G303" s="131">
        <v>47</v>
      </c>
      <c r="H303" s="131">
        <v>56.3</v>
      </c>
      <c r="I303" s="42"/>
      <c r="J303" s="43"/>
      <c r="K303" s="42"/>
      <c r="L303" s="42"/>
      <c r="M303" s="42"/>
      <c r="N303" s="42"/>
      <c r="O303" s="42"/>
    </row>
    <row r="304" spans="1:15" ht="32.25" thickBot="1" x14ac:dyDescent="0.3">
      <c r="A304" s="134">
        <v>23</v>
      </c>
      <c r="B304" s="121" t="s">
        <v>131</v>
      </c>
      <c r="C304" s="117" t="s">
        <v>182</v>
      </c>
      <c r="D304" s="117" t="s">
        <v>182</v>
      </c>
      <c r="E304" s="117" t="s">
        <v>182</v>
      </c>
      <c r="F304" s="117" t="s">
        <v>182</v>
      </c>
      <c r="G304" s="117" t="s">
        <v>182</v>
      </c>
      <c r="H304" s="117" t="s">
        <v>182</v>
      </c>
      <c r="I304" s="42"/>
      <c r="J304" s="43"/>
      <c r="K304" s="42"/>
      <c r="L304" s="42"/>
      <c r="M304" s="42"/>
      <c r="N304" s="42"/>
      <c r="O304" s="42"/>
    </row>
    <row r="305" spans="1:15" ht="32.25" thickTop="1" x14ac:dyDescent="0.25">
      <c r="A305" s="289">
        <v>24</v>
      </c>
      <c r="B305" s="59" t="s">
        <v>132</v>
      </c>
      <c r="C305" s="99"/>
      <c r="D305" s="139"/>
      <c r="E305" s="139"/>
      <c r="F305" s="139"/>
      <c r="G305" s="99"/>
      <c r="H305" s="99"/>
      <c r="I305" s="42"/>
      <c r="J305" s="43"/>
      <c r="K305" s="42"/>
      <c r="L305" s="42"/>
      <c r="M305" s="42"/>
      <c r="N305" s="42"/>
      <c r="O305" s="42"/>
    </row>
    <row r="306" spans="1:15" ht="32.25" thickBot="1" x14ac:dyDescent="0.3">
      <c r="A306" s="288"/>
      <c r="B306" s="121" t="s">
        <v>72</v>
      </c>
      <c r="C306" s="118">
        <v>34.700000000000003</v>
      </c>
      <c r="D306" s="117">
        <v>38.1</v>
      </c>
      <c r="E306" s="117">
        <v>40.700000000000003</v>
      </c>
      <c r="F306" s="117">
        <v>54.8</v>
      </c>
      <c r="G306" s="118">
        <v>47</v>
      </c>
      <c r="H306" s="118">
        <v>56.3</v>
      </c>
      <c r="I306" s="42"/>
      <c r="J306" s="43"/>
      <c r="K306" s="42"/>
      <c r="L306" s="42"/>
      <c r="M306" s="42"/>
      <c r="N306" s="42"/>
      <c r="O306" s="42"/>
    </row>
    <row r="307" spans="1:15" ht="32.25" thickTop="1" x14ac:dyDescent="0.25">
      <c r="A307" s="289">
        <v>25</v>
      </c>
      <c r="B307" s="59" t="s">
        <v>133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.5" thickBot="1" x14ac:dyDescent="0.3">
      <c r="A308" s="288"/>
      <c r="B308" s="121" t="s">
        <v>76</v>
      </c>
      <c r="C308" s="128">
        <v>52.85</v>
      </c>
      <c r="D308" s="117">
        <v>54.02</v>
      </c>
      <c r="E308" s="117">
        <v>55.86</v>
      </c>
      <c r="F308" s="117">
        <v>55.68</v>
      </c>
      <c r="G308" s="118">
        <v>53.64</v>
      </c>
      <c r="H308" s="118">
        <v>50.76</v>
      </c>
      <c r="I308" s="42"/>
      <c r="J308" s="43"/>
      <c r="K308" s="42"/>
      <c r="L308" s="42"/>
      <c r="M308" s="42"/>
      <c r="N308" s="42"/>
      <c r="O308" s="42"/>
    </row>
    <row r="309" spans="1:15" ht="32.25" thickTop="1" x14ac:dyDescent="0.25">
      <c r="A309" s="289">
        <v>26</v>
      </c>
      <c r="B309" s="59" t="s">
        <v>75</v>
      </c>
      <c r="C309" s="99"/>
      <c r="D309" s="139"/>
      <c r="E309" s="139"/>
      <c r="F309" s="99"/>
      <c r="G309" s="139"/>
      <c r="H309" s="139"/>
      <c r="I309" s="42"/>
      <c r="J309" s="43"/>
      <c r="K309" s="42"/>
      <c r="L309" s="42"/>
      <c r="M309" s="42"/>
      <c r="N309" s="42"/>
      <c r="O309" s="42"/>
    </row>
    <row r="310" spans="1:15" ht="16.5" thickBot="1" x14ac:dyDescent="0.3">
      <c r="A310" s="288"/>
      <c r="B310" s="121" t="s">
        <v>76</v>
      </c>
      <c r="C310" s="128">
        <v>63.78</v>
      </c>
      <c r="D310" s="117">
        <v>61.98</v>
      </c>
      <c r="E310" s="117">
        <v>61.82</v>
      </c>
      <c r="F310" s="117">
        <v>59.94</v>
      </c>
      <c r="G310" s="118">
        <v>54.51</v>
      </c>
      <c r="H310" s="118">
        <v>67.7</v>
      </c>
      <c r="I310" s="42"/>
      <c r="J310" s="43"/>
      <c r="K310" s="42"/>
      <c r="L310" s="42"/>
      <c r="M310" s="42"/>
      <c r="N310" s="42"/>
      <c r="O310" s="42"/>
    </row>
    <row r="311" spans="1:15" ht="31.5" thickTop="1" thickBot="1" x14ac:dyDescent="0.3">
      <c r="A311" s="134">
        <v>27</v>
      </c>
      <c r="B311" s="75" t="s">
        <v>161</v>
      </c>
      <c r="C311" s="128">
        <v>14.37</v>
      </c>
      <c r="D311" s="117">
        <v>12.29</v>
      </c>
      <c r="E311" s="117">
        <v>10.94</v>
      </c>
      <c r="F311" s="117">
        <v>9.66</v>
      </c>
      <c r="G311" s="118">
        <v>6.83</v>
      </c>
      <c r="H311" s="118">
        <v>16.940000000000001</v>
      </c>
      <c r="I311" s="42"/>
      <c r="J311" s="43"/>
      <c r="K311" s="42"/>
      <c r="L311" s="42"/>
      <c r="M311" s="42"/>
      <c r="N311" s="42"/>
      <c r="O311" s="42"/>
    </row>
    <row r="312" spans="1:15" ht="33" thickTop="1" thickBot="1" x14ac:dyDescent="0.3">
      <c r="A312" s="135">
        <v>28</v>
      </c>
      <c r="B312" s="123" t="s">
        <v>211</v>
      </c>
      <c r="C312" s="131">
        <v>3.44</v>
      </c>
      <c r="D312" s="125">
        <v>4.32</v>
      </c>
      <c r="E312" s="125">
        <v>4.97</v>
      </c>
      <c r="F312" s="125">
        <v>5.4</v>
      </c>
      <c r="G312" s="131">
        <v>5.96</v>
      </c>
      <c r="H312" s="125">
        <v>0</v>
      </c>
      <c r="I312" s="42"/>
      <c r="J312" s="43"/>
      <c r="K312" s="42"/>
      <c r="L312" s="42"/>
      <c r="M312" s="42"/>
      <c r="N312" s="42"/>
      <c r="O312" s="42"/>
    </row>
    <row r="313" spans="1:15" ht="31.5" x14ac:dyDescent="0.25">
      <c r="A313" s="287">
        <v>29</v>
      </c>
      <c r="B313" s="59" t="s">
        <v>136</v>
      </c>
      <c r="C313" s="139"/>
      <c r="D313" s="139"/>
      <c r="E313" s="139"/>
      <c r="F313" s="139"/>
      <c r="G313" s="139"/>
      <c r="H313" s="139"/>
      <c r="I313" s="42"/>
      <c r="J313" s="43"/>
      <c r="K313" s="42"/>
      <c r="L313" s="42"/>
      <c r="M313" s="42"/>
      <c r="N313" s="42"/>
      <c r="O313" s="42"/>
    </row>
    <row r="314" spans="1:15" ht="32.25" thickBot="1" x14ac:dyDescent="0.3">
      <c r="A314" s="290"/>
      <c r="B314" s="123" t="s">
        <v>137</v>
      </c>
      <c r="C314" s="131">
        <v>60</v>
      </c>
      <c r="D314" s="125">
        <v>60</v>
      </c>
      <c r="E314" s="125">
        <v>60</v>
      </c>
      <c r="F314" s="125">
        <v>60</v>
      </c>
      <c r="G314" s="126">
        <v>60</v>
      </c>
      <c r="H314" s="209">
        <v>60</v>
      </c>
      <c r="I314" s="42"/>
      <c r="J314" s="43"/>
      <c r="K314" s="42"/>
      <c r="L314" s="42"/>
      <c r="M314" s="42"/>
      <c r="N314" s="42"/>
      <c r="O314" s="42"/>
    </row>
    <row r="315" spans="1:15" ht="31.5" x14ac:dyDescent="0.25">
      <c r="A315" s="287">
        <v>30</v>
      </c>
      <c r="B315" s="59" t="s">
        <v>129</v>
      </c>
      <c r="C315" s="403">
        <v>138.9</v>
      </c>
      <c r="D315" s="139"/>
      <c r="E315" s="139"/>
      <c r="F315" s="139"/>
      <c r="G315" s="139"/>
      <c r="H315" s="139"/>
      <c r="I315" s="42"/>
      <c r="J315" s="43"/>
      <c r="K315" s="42"/>
      <c r="L315" s="42"/>
      <c r="M315" s="42"/>
      <c r="N315" s="42"/>
      <c r="O315" s="42"/>
    </row>
    <row r="316" spans="1:15" ht="32.25" thickBot="1" x14ac:dyDescent="0.3">
      <c r="A316" s="290"/>
      <c r="B316" s="123" t="s">
        <v>212</v>
      </c>
      <c r="C316" s="404"/>
      <c r="D316" s="125">
        <v>139.1</v>
      </c>
      <c r="E316" s="125">
        <v>139.4</v>
      </c>
      <c r="F316" s="125">
        <v>139.30000000000001</v>
      </c>
      <c r="G316" s="131">
        <v>138.6</v>
      </c>
      <c r="H316" s="131">
        <v>137.69999999999999</v>
      </c>
      <c r="I316" s="42"/>
      <c r="J316" s="43"/>
      <c r="K316" s="42"/>
      <c r="L316" s="42"/>
      <c r="M316" s="42"/>
      <c r="N316" s="42"/>
      <c r="O316" s="42"/>
    </row>
    <row r="317" spans="1:15" ht="32.25" thickBot="1" x14ac:dyDescent="0.3">
      <c r="A317" s="134">
        <v>31</v>
      </c>
      <c r="B317" s="121" t="s">
        <v>139</v>
      </c>
      <c r="C317" s="128">
        <v>166</v>
      </c>
      <c r="D317" s="117">
        <v>166</v>
      </c>
      <c r="E317" s="117">
        <v>166.1</v>
      </c>
      <c r="F317" s="117">
        <v>166.1</v>
      </c>
      <c r="G317" s="118">
        <v>166</v>
      </c>
      <c r="H317" s="118">
        <v>166</v>
      </c>
      <c r="I317" s="42"/>
      <c r="J317" s="43"/>
      <c r="K317" s="42"/>
      <c r="L317" s="42"/>
      <c r="M317" s="42"/>
      <c r="N317" s="42"/>
      <c r="O317" s="42"/>
    </row>
    <row r="318" spans="1:15" ht="33" thickTop="1" thickBot="1" x14ac:dyDescent="0.3">
      <c r="A318" s="135">
        <v>32</v>
      </c>
      <c r="B318" s="123" t="s">
        <v>83</v>
      </c>
      <c r="C318" s="126">
        <v>272</v>
      </c>
      <c r="D318" s="125">
        <v>272.3</v>
      </c>
      <c r="E318" s="125">
        <v>275.5</v>
      </c>
      <c r="F318" s="125">
        <v>275.3</v>
      </c>
      <c r="G318" s="131">
        <v>272.7</v>
      </c>
      <c r="H318" s="131">
        <v>270.10000000000002</v>
      </c>
      <c r="I318" s="42"/>
      <c r="J318" s="43"/>
      <c r="K318" s="42"/>
      <c r="L318" s="42"/>
      <c r="M318" s="42"/>
      <c r="N318" s="42"/>
      <c r="O318" s="42"/>
    </row>
    <row r="319" spans="1:15" ht="32.25" thickBot="1" x14ac:dyDescent="0.3">
      <c r="A319" s="134">
        <v>33</v>
      </c>
      <c r="B319" s="121" t="s">
        <v>84</v>
      </c>
      <c r="C319" s="128">
        <v>5.6740000000000004</v>
      </c>
      <c r="D319" s="117">
        <v>5.8230000000000004</v>
      </c>
      <c r="E319" s="117">
        <v>6.0490000000000004</v>
      </c>
      <c r="F319" s="117">
        <v>6.05</v>
      </c>
      <c r="G319" s="118">
        <v>5.9020000000000001</v>
      </c>
      <c r="H319" s="118">
        <v>5.7169999999999996</v>
      </c>
      <c r="I319" s="42"/>
      <c r="J319" s="43"/>
      <c r="K319" s="42"/>
      <c r="L319" s="42"/>
      <c r="M319" s="42"/>
      <c r="N319" s="42"/>
      <c r="O319" s="42"/>
    </row>
    <row r="320" spans="1:15" ht="33" thickTop="1" thickBot="1" x14ac:dyDescent="0.3">
      <c r="A320" s="135">
        <v>34</v>
      </c>
      <c r="B320" s="123" t="s">
        <v>85</v>
      </c>
      <c r="C320" s="126">
        <v>0.46300000000000002</v>
      </c>
      <c r="D320" s="125">
        <v>0.46400000000000002</v>
      </c>
      <c r="E320" s="125">
        <v>0.46800000000000003</v>
      </c>
      <c r="F320" s="125">
        <v>0.46700000000000003</v>
      </c>
      <c r="G320" s="131">
        <v>0.45800000000000002</v>
      </c>
      <c r="H320" s="131">
        <v>0.44700000000000001</v>
      </c>
      <c r="I320" s="42"/>
      <c r="J320" s="43"/>
      <c r="K320" s="42"/>
      <c r="L320" s="42"/>
      <c r="M320" s="42"/>
      <c r="N320" s="42"/>
      <c r="O320" s="42"/>
    </row>
    <row r="321" spans="1:15" x14ac:dyDescent="0.25">
      <c r="A321" s="42"/>
      <c r="B321" s="42"/>
      <c r="C321" s="42"/>
      <c r="D321" s="42"/>
      <c r="E321" s="42"/>
      <c r="F321" s="42"/>
      <c r="G321" s="42"/>
      <c r="H321" s="42"/>
      <c r="I321" s="42"/>
      <c r="J321" s="43"/>
      <c r="K321" s="42"/>
      <c r="L321" s="42"/>
      <c r="M321" s="42"/>
      <c r="N321" s="42"/>
      <c r="O321" s="42"/>
    </row>
    <row r="322" spans="1:15" ht="16.5" thickBot="1" x14ac:dyDescent="0.3">
      <c r="A322" s="129" t="s">
        <v>216</v>
      </c>
      <c r="B322" s="42"/>
      <c r="C322" s="42"/>
      <c r="D322" s="42"/>
      <c r="E322" s="42"/>
      <c r="F322" s="42"/>
      <c r="G322" s="42"/>
      <c r="H322" s="42"/>
      <c r="I322" s="42"/>
      <c r="J322" s="43"/>
      <c r="K322" s="42"/>
      <c r="L322" s="42"/>
      <c r="M322" s="42"/>
      <c r="N322" s="42"/>
      <c r="O322" s="42"/>
    </row>
    <row r="323" spans="1:15" ht="17.25" thickTop="1" thickBot="1" x14ac:dyDescent="0.3">
      <c r="A323" s="302" t="s">
        <v>86</v>
      </c>
      <c r="B323" s="303"/>
      <c r="C323" s="303"/>
      <c r="D323" s="303"/>
      <c r="E323" s="303"/>
      <c r="F323" s="303"/>
      <c r="G323" s="303"/>
      <c r="H323" s="304"/>
      <c r="I323" s="42"/>
      <c r="J323" s="43"/>
      <c r="K323" s="42"/>
      <c r="L323" s="42"/>
      <c r="M323" s="42"/>
      <c r="N323" s="42"/>
      <c r="O323" s="42"/>
    </row>
    <row r="324" spans="1:15" ht="17.25" thickTop="1" thickBot="1" x14ac:dyDescent="0.3">
      <c r="A324" s="134">
        <v>35</v>
      </c>
      <c r="B324" s="121" t="s">
        <v>87</v>
      </c>
      <c r="C324" s="117">
        <v>84.5</v>
      </c>
      <c r="D324" s="117">
        <v>84.5</v>
      </c>
      <c r="E324" s="117">
        <v>84.5</v>
      </c>
      <c r="F324" s="117">
        <v>82.6</v>
      </c>
      <c r="G324" s="117">
        <v>74.7</v>
      </c>
      <c r="H324" s="117">
        <v>64.5</v>
      </c>
      <c r="I324" s="42"/>
      <c r="J324" s="43"/>
      <c r="K324" s="42"/>
      <c r="L324" s="42"/>
      <c r="M324" s="42"/>
      <c r="N324" s="42"/>
      <c r="O324" s="42"/>
    </row>
    <row r="325" spans="1:15" ht="17.25" thickTop="1" thickBot="1" x14ac:dyDescent="0.3">
      <c r="A325" s="135">
        <v>36</v>
      </c>
      <c r="B325" s="123" t="s">
        <v>88</v>
      </c>
      <c r="C325" s="125">
        <v>49.91</v>
      </c>
      <c r="D325" s="125">
        <v>50.47</v>
      </c>
      <c r="E325" s="125">
        <v>51.95</v>
      </c>
      <c r="F325" s="125">
        <v>51.46</v>
      </c>
      <c r="G325" s="125">
        <v>49.45</v>
      </c>
      <c r="H325" s="125">
        <v>45.19</v>
      </c>
      <c r="I325" s="42"/>
      <c r="J325" s="43"/>
      <c r="K325" s="42"/>
      <c r="L325" s="42"/>
      <c r="M325" s="42"/>
      <c r="N325" s="42"/>
      <c r="O325" s="42"/>
    </row>
    <row r="326" spans="1:15" ht="32.25" thickBot="1" x14ac:dyDescent="0.3">
      <c r="A326" s="134">
        <v>37</v>
      </c>
      <c r="B326" s="121" t="s">
        <v>89</v>
      </c>
      <c r="C326" s="117">
        <v>134.4</v>
      </c>
      <c r="D326" s="117">
        <v>135</v>
      </c>
      <c r="E326" s="117">
        <v>136.5</v>
      </c>
      <c r="F326" s="117">
        <v>134.1</v>
      </c>
      <c r="G326" s="117">
        <v>124.2</v>
      </c>
      <c r="H326" s="117">
        <v>109.69</v>
      </c>
      <c r="I326" s="42"/>
      <c r="J326" s="43"/>
      <c r="K326" s="42"/>
      <c r="L326" s="42"/>
      <c r="M326" s="42"/>
      <c r="N326" s="42"/>
      <c r="O326" s="42"/>
    </row>
    <row r="327" spans="1:15" ht="33" thickTop="1" thickBot="1" x14ac:dyDescent="0.3">
      <c r="A327" s="295">
        <v>38</v>
      </c>
      <c r="B327" s="121" t="s">
        <v>140</v>
      </c>
      <c r="C327" s="117">
        <v>0</v>
      </c>
      <c r="D327" s="117">
        <v>0</v>
      </c>
      <c r="E327" s="117">
        <v>0</v>
      </c>
      <c r="F327" s="117">
        <v>0</v>
      </c>
      <c r="G327" s="117">
        <v>0</v>
      </c>
      <c r="H327" s="117">
        <v>0</v>
      </c>
      <c r="I327" s="42"/>
      <c r="J327" s="43"/>
      <c r="K327" s="42"/>
      <c r="L327" s="42"/>
      <c r="M327" s="42"/>
      <c r="N327" s="42"/>
      <c r="O327" s="42"/>
    </row>
    <row r="328" spans="1:15" ht="17.25" thickTop="1" thickBot="1" x14ac:dyDescent="0.3">
      <c r="A328" s="294"/>
      <c r="B328" s="128" t="s">
        <v>91</v>
      </c>
      <c r="C328" s="117">
        <v>0</v>
      </c>
      <c r="D328" s="117">
        <v>0</v>
      </c>
      <c r="E328" s="117">
        <v>0</v>
      </c>
      <c r="F328" s="117">
        <v>0</v>
      </c>
      <c r="G328" s="117">
        <v>0</v>
      </c>
      <c r="H328" s="117">
        <v>0</v>
      </c>
      <c r="I328" s="42"/>
      <c r="J328" s="43"/>
      <c r="K328" s="42"/>
      <c r="L328" s="42"/>
      <c r="M328" s="42"/>
      <c r="N328" s="42"/>
      <c r="O328" s="42"/>
    </row>
    <row r="329" spans="1:15" ht="33" thickTop="1" thickBot="1" x14ac:dyDescent="0.3">
      <c r="A329" s="295">
        <v>39</v>
      </c>
      <c r="B329" s="123" t="s">
        <v>141</v>
      </c>
      <c r="C329" s="125">
        <v>0</v>
      </c>
      <c r="D329" s="125">
        <v>0</v>
      </c>
      <c r="E329" s="125">
        <v>0</v>
      </c>
      <c r="F329" s="125">
        <v>0</v>
      </c>
      <c r="G329" s="125">
        <v>0</v>
      </c>
      <c r="H329" s="125">
        <v>0</v>
      </c>
      <c r="I329" s="42"/>
      <c r="J329" s="43"/>
      <c r="K329" s="42"/>
      <c r="L329" s="42"/>
      <c r="M329" s="42"/>
      <c r="N329" s="42"/>
      <c r="O329" s="42"/>
    </row>
    <row r="330" spans="1:15" ht="16.5" thickBot="1" x14ac:dyDescent="0.3">
      <c r="A330" s="294"/>
      <c r="B330" s="128" t="s">
        <v>91</v>
      </c>
      <c r="C330" s="117">
        <v>0</v>
      </c>
      <c r="D330" s="117">
        <v>0</v>
      </c>
      <c r="E330" s="117">
        <v>0</v>
      </c>
      <c r="F330" s="117">
        <v>0</v>
      </c>
      <c r="G330" s="117">
        <v>0</v>
      </c>
      <c r="H330" s="117">
        <v>0</v>
      </c>
      <c r="I330" s="42"/>
      <c r="J330" s="43"/>
      <c r="K330" s="42"/>
      <c r="L330" s="42"/>
      <c r="M330" s="42"/>
      <c r="N330" s="42"/>
      <c r="O330" s="42"/>
    </row>
    <row r="331" spans="1:15" ht="33" thickTop="1" thickBot="1" x14ac:dyDescent="0.3">
      <c r="A331" s="295">
        <v>40</v>
      </c>
      <c r="B331" s="121" t="s">
        <v>142</v>
      </c>
      <c r="C331" s="117">
        <v>0</v>
      </c>
      <c r="D331" s="117">
        <v>0</v>
      </c>
      <c r="E331" s="117">
        <v>0</v>
      </c>
      <c r="F331" s="117">
        <v>0</v>
      </c>
      <c r="G331" s="117">
        <v>0</v>
      </c>
      <c r="H331" s="117">
        <v>0</v>
      </c>
      <c r="I331" s="42"/>
      <c r="J331" s="43"/>
      <c r="K331" s="42"/>
      <c r="L331" s="42"/>
      <c r="M331" s="42"/>
      <c r="N331" s="42"/>
      <c r="O331" s="42"/>
    </row>
    <row r="332" spans="1:15" ht="17.25" thickTop="1" thickBot="1" x14ac:dyDescent="0.3">
      <c r="A332" s="294"/>
      <c r="B332" s="128" t="s">
        <v>91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33" thickTop="1" thickBot="1" x14ac:dyDescent="0.3">
      <c r="A333" s="295">
        <v>41</v>
      </c>
      <c r="B333" s="123" t="s">
        <v>143</v>
      </c>
      <c r="C333" s="125">
        <v>0</v>
      </c>
      <c r="D333" s="125">
        <v>0</v>
      </c>
      <c r="E333" s="125">
        <v>0</v>
      </c>
      <c r="F333" s="125">
        <v>0</v>
      </c>
      <c r="G333" s="125">
        <v>0</v>
      </c>
      <c r="H333" s="125">
        <v>0</v>
      </c>
      <c r="I333" s="42"/>
      <c r="J333" s="43"/>
      <c r="K333" s="42"/>
      <c r="L333" s="42"/>
      <c r="M333" s="42"/>
      <c r="N333" s="42"/>
      <c r="O333" s="42"/>
    </row>
    <row r="334" spans="1:15" ht="16.5" thickBot="1" x14ac:dyDescent="0.3">
      <c r="A334" s="293"/>
      <c r="B334" s="126" t="s">
        <v>91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.5" x14ac:dyDescent="0.25">
      <c r="A335" s="161"/>
      <c r="B335" s="139"/>
      <c r="C335" s="139"/>
      <c r="D335" s="139"/>
      <c r="E335" s="139"/>
      <c r="F335" s="139"/>
      <c r="G335" s="139"/>
      <c r="H335" s="139"/>
      <c r="I335" s="42"/>
      <c r="J335" s="43"/>
      <c r="K335" s="42"/>
      <c r="L335" s="42"/>
      <c r="M335" s="42"/>
      <c r="N335" s="42"/>
      <c r="O335" s="42"/>
    </row>
    <row r="336" spans="1:15" ht="32.25" thickBot="1" x14ac:dyDescent="0.3">
      <c r="A336" s="207">
        <v>42</v>
      </c>
      <c r="B336" s="121" t="s">
        <v>144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7.25" thickTop="1" thickBot="1" x14ac:dyDescent="0.3">
      <c r="A337" s="208"/>
      <c r="B337" s="126" t="s">
        <v>90</v>
      </c>
      <c r="C337" s="125">
        <v>0</v>
      </c>
      <c r="D337" s="125">
        <v>0</v>
      </c>
      <c r="E337" s="125">
        <v>0</v>
      </c>
      <c r="F337" s="125">
        <v>0</v>
      </c>
      <c r="G337" s="125">
        <v>0</v>
      </c>
      <c r="H337" s="125">
        <v>0</v>
      </c>
      <c r="I337" s="42"/>
      <c r="J337" s="43"/>
      <c r="K337" s="42"/>
      <c r="L337" s="42"/>
      <c r="M337" s="42"/>
      <c r="N337" s="42"/>
      <c r="O337" s="42"/>
    </row>
    <row r="338" spans="1:15" ht="16.5" thickBot="1" x14ac:dyDescent="0.3">
      <c r="A338" s="135">
        <v>43</v>
      </c>
      <c r="B338" s="123" t="s">
        <v>146</v>
      </c>
      <c r="C338" s="125">
        <v>37.32</v>
      </c>
      <c r="D338" s="125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  <c r="I338" s="42"/>
      <c r="J338" s="43"/>
      <c r="K338" s="42"/>
      <c r="L338" s="42"/>
      <c r="M338" s="42"/>
      <c r="N338" s="42"/>
      <c r="O338" s="42"/>
    </row>
    <row r="339" spans="1:15" ht="31.5" x14ac:dyDescent="0.25">
      <c r="A339" s="287">
        <v>44</v>
      </c>
      <c r="B339" s="59" t="s">
        <v>226</v>
      </c>
      <c r="C339" s="139"/>
      <c r="D339" s="139"/>
      <c r="E339" s="139"/>
      <c r="F339" s="139"/>
      <c r="G339" s="139"/>
      <c r="H339" s="139"/>
      <c r="I339" s="42"/>
      <c r="J339" s="43"/>
      <c r="K339" s="42"/>
      <c r="L339" s="42"/>
      <c r="M339" s="42"/>
      <c r="N339" s="42"/>
      <c r="O339" s="42"/>
    </row>
    <row r="340" spans="1:15" ht="32.25" thickBot="1" x14ac:dyDescent="0.3">
      <c r="A340" s="288"/>
      <c r="B340" s="121" t="s">
        <v>227</v>
      </c>
      <c r="C340" s="117">
        <v>150</v>
      </c>
      <c r="D340" s="117">
        <v>150</v>
      </c>
      <c r="E340" s="117">
        <v>150</v>
      </c>
      <c r="F340" s="117">
        <v>150</v>
      </c>
      <c r="G340" s="117">
        <v>150</v>
      </c>
      <c r="H340" s="117">
        <v>150</v>
      </c>
      <c r="I340" s="42"/>
      <c r="J340" s="43"/>
      <c r="K340" s="42"/>
      <c r="L340" s="42"/>
      <c r="M340" s="42"/>
      <c r="N340" s="42"/>
      <c r="O340" s="42"/>
    </row>
    <row r="341" spans="1:15" ht="32.25" thickTop="1" x14ac:dyDescent="0.25">
      <c r="A341" s="289">
        <v>45</v>
      </c>
      <c r="B341" s="59" t="s">
        <v>147</v>
      </c>
      <c r="C341" s="119"/>
      <c r="D341" s="119"/>
      <c r="E341" s="119"/>
      <c r="F341" s="119"/>
      <c r="G341" s="119"/>
      <c r="H341" s="119"/>
      <c r="I341" s="42"/>
      <c r="J341" s="43"/>
      <c r="K341" s="42"/>
      <c r="L341" s="42"/>
      <c r="M341" s="42"/>
      <c r="N341" s="42"/>
      <c r="O341" s="42"/>
    </row>
    <row r="342" spans="1:15" ht="16.5" thickBot="1" x14ac:dyDescent="0.3">
      <c r="A342" s="290"/>
      <c r="B342" s="123" t="s">
        <v>97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31.5" x14ac:dyDescent="0.25">
      <c r="A343" s="287">
        <v>46</v>
      </c>
      <c r="B343" s="59" t="s">
        <v>147</v>
      </c>
      <c r="C343" s="139"/>
      <c r="D343" s="139"/>
      <c r="E343" s="139"/>
      <c r="F343" s="139"/>
      <c r="G343" s="139"/>
      <c r="H343" s="139"/>
      <c r="I343" s="42"/>
      <c r="J343" s="43"/>
      <c r="K343" s="42"/>
      <c r="L343" s="42"/>
      <c r="M343" s="42"/>
      <c r="N343" s="42"/>
      <c r="O343" s="42"/>
    </row>
    <row r="344" spans="1:15" ht="16.5" thickBot="1" x14ac:dyDescent="0.3">
      <c r="A344" s="288"/>
      <c r="B344" s="121" t="s">
        <v>98</v>
      </c>
      <c r="C344" s="117">
        <v>37.32</v>
      </c>
      <c r="D344" s="117">
        <v>37.32</v>
      </c>
      <c r="E344" s="117">
        <v>37.380000000000003</v>
      </c>
      <c r="F344" s="117">
        <v>36.72</v>
      </c>
      <c r="G344" s="117">
        <v>33.94</v>
      </c>
      <c r="H344" s="117">
        <v>30.57</v>
      </c>
      <c r="I344" s="42"/>
      <c r="J344" s="43"/>
      <c r="K344" s="42"/>
      <c r="L344" s="42"/>
      <c r="M344" s="42"/>
      <c r="N344" s="42"/>
      <c r="O344" s="42"/>
    </row>
    <row r="345" spans="1:15" ht="32.25" thickTop="1" x14ac:dyDescent="0.25">
      <c r="A345" s="289">
        <v>47</v>
      </c>
      <c r="B345" s="59" t="s">
        <v>228</v>
      </c>
      <c r="C345" s="99"/>
      <c r="D345" s="139"/>
      <c r="E345" s="139"/>
      <c r="F345" s="139"/>
      <c r="G345" s="139"/>
      <c r="H345" s="139"/>
      <c r="I345" s="42"/>
      <c r="J345" s="43"/>
      <c r="K345" s="42"/>
      <c r="L345" s="42"/>
      <c r="M345" s="42"/>
      <c r="N345" s="42"/>
      <c r="O345" s="42"/>
    </row>
    <row r="346" spans="1:15" ht="16.5" thickBot="1" x14ac:dyDescent="0.3">
      <c r="A346" s="290"/>
      <c r="B346" s="123" t="s">
        <v>229</v>
      </c>
      <c r="C346" s="125">
        <v>277.7</v>
      </c>
      <c r="D346" s="125">
        <v>276.39999999999998</v>
      </c>
      <c r="E346" s="125">
        <v>273.89999999999998</v>
      </c>
      <c r="F346" s="125">
        <v>273.89999999999998</v>
      </c>
      <c r="G346" s="125">
        <v>273.3</v>
      </c>
      <c r="H346" s="125">
        <v>278.7</v>
      </c>
      <c r="I346" s="42"/>
      <c r="J346" s="43"/>
      <c r="K346" s="42"/>
      <c r="L346" s="42"/>
      <c r="M346" s="42"/>
      <c r="N346" s="42"/>
      <c r="O346" s="42"/>
    </row>
    <row r="347" spans="1:15" ht="32.25" thickBot="1" x14ac:dyDescent="0.3">
      <c r="A347" s="134">
        <v>48</v>
      </c>
      <c r="B347" s="121" t="s">
        <v>149</v>
      </c>
      <c r="C347" s="117">
        <v>44.24</v>
      </c>
      <c r="D347" s="117">
        <v>44.44</v>
      </c>
      <c r="E347" s="117">
        <v>44.85</v>
      </c>
      <c r="F347" s="117">
        <v>44.85</v>
      </c>
      <c r="G347" s="117">
        <v>44.95</v>
      </c>
      <c r="H347" s="117">
        <v>44.08</v>
      </c>
      <c r="I347" s="42"/>
      <c r="J347" s="43"/>
      <c r="K347" s="42"/>
      <c r="L347" s="42"/>
      <c r="M347" s="42"/>
      <c r="N347" s="42"/>
      <c r="O347" s="42"/>
    </row>
    <row r="348" spans="1:15" ht="15.75" thickTop="1" x14ac:dyDescent="0.25">
      <c r="A348" s="42"/>
      <c r="B348" s="42"/>
      <c r="C348" s="42"/>
      <c r="D348" s="42"/>
      <c r="E348" s="42"/>
      <c r="F348" s="42"/>
      <c r="G348" s="42"/>
      <c r="H348" s="42"/>
      <c r="I348" s="42"/>
      <c r="J348" s="43"/>
      <c r="K348" s="42"/>
      <c r="L348" s="42"/>
      <c r="M348" s="42"/>
      <c r="N348" s="42"/>
      <c r="O348" s="42"/>
    </row>
    <row r="349" spans="1:15" x14ac:dyDescent="0.25">
      <c r="A349" s="42"/>
      <c r="B349" s="42"/>
      <c r="C349" s="42"/>
      <c r="D349" s="42"/>
      <c r="E349" s="42"/>
      <c r="F349" s="42"/>
      <c r="G349" s="42"/>
      <c r="H349" s="42"/>
      <c r="I349" s="42"/>
      <c r="J349" s="43"/>
      <c r="K349" s="42"/>
      <c r="L349" s="42"/>
      <c r="M349" s="42"/>
      <c r="N349" s="42"/>
      <c r="O349" s="42"/>
    </row>
    <row r="350" spans="1:15" x14ac:dyDescent="0.25">
      <c r="A350" s="42"/>
      <c r="B350" s="42"/>
      <c r="C350" s="42"/>
      <c r="D350" s="42"/>
      <c r="E350" s="42"/>
      <c r="F350" s="42"/>
      <c r="G350" s="42"/>
      <c r="H350" s="42"/>
      <c r="I350" s="42"/>
      <c r="J350" s="43"/>
      <c r="K350" s="42"/>
      <c r="L350" s="42"/>
      <c r="M350" s="42"/>
      <c r="N350" s="42"/>
      <c r="O350" s="42"/>
    </row>
    <row r="351" spans="1:15" x14ac:dyDescent="0.25">
      <c r="A351" s="42"/>
      <c r="B351" s="42"/>
      <c r="C351" s="42"/>
      <c r="D351" s="42"/>
      <c r="E351" s="42"/>
      <c r="F351" s="42"/>
      <c r="G351" s="42"/>
      <c r="H351" s="42"/>
      <c r="I351" s="42"/>
      <c r="J351" s="43"/>
      <c r="K351" s="42"/>
      <c r="L351" s="42"/>
      <c r="M351" s="42"/>
      <c r="N351" s="42"/>
      <c r="O351" s="42"/>
    </row>
    <row r="352" spans="1:15" x14ac:dyDescent="0.25">
      <c r="A352" s="42"/>
      <c r="B352" s="42"/>
      <c r="C352" s="42"/>
      <c r="D352" s="42"/>
      <c r="E352" s="42"/>
      <c r="F352" s="42"/>
      <c r="G352" s="42"/>
      <c r="H352" s="42"/>
      <c r="I352" s="42"/>
      <c r="J352" s="43"/>
      <c r="K352" s="42"/>
      <c r="L352" s="42"/>
      <c r="M352" s="42"/>
      <c r="N352" s="42"/>
      <c r="O352" s="42"/>
    </row>
    <row r="353" spans="1:15" x14ac:dyDescent="0.2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2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2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</sheetData>
  <mergeCells count="145">
    <mergeCell ref="A6:A8"/>
    <mergeCell ref="B6:B7"/>
    <mergeCell ref="C6:N6"/>
    <mergeCell ref="C8:I8"/>
    <mergeCell ref="A9:N9"/>
    <mergeCell ref="C10:N10"/>
    <mergeCell ref="A29:A32"/>
    <mergeCell ref="C29:N29"/>
    <mergeCell ref="A33:N33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64:A167"/>
    <mergeCell ref="C164:H164"/>
    <mergeCell ref="A168:A171"/>
    <mergeCell ref="C168:H168"/>
    <mergeCell ref="A172:A175"/>
    <mergeCell ref="C172:H172"/>
    <mergeCell ref="A151:H151"/>
    <mergeCell ref="A152:A155"/>
    <mergeCell ref="C152:H152"/>
    <mergeCell ref="A156:A159"/>
    <mergeCell ref="C156:H156"/>
    <mergeCell ref="A160:A163"/>
    <mergeCell ref="C160:H160"/>
    <mergeCell ref="A193:A194"/>
    <mergeCell ref="A195:A196"/>
    <mergeCell ref="A198:A199"/>
    <mergeCell ref="A200:A201"/>
    <mergeCell ref="C200:C201"/>
    <mergeCell ref="A208:H208"/>
    <mergeCell ref="A176:A179"/>
    <mergeCell ref="C176:H176"/>
    <mergeCell ref="A180:H180"/>
    <mergeCell ref="A186:A187"/>
    <mergeCell ref="A189:A190"/>
    <mergeCell ref="A191:A192"/>
    <mergeCell ref="A226:A227"/>
    <mergeCell ref="A228:A229"/>
    <mergeCell ref="A230:A232"/>
    <mergeCell ref="A239:A241"/>
    <mergeCell ref="B239:B241"/>
    <mergeCell ref="C239:H239"/>
    <mergeCell ref="C241:G241"/>
    <mergeCell ref="A212:A213"/>
    <mergeCell ref="A214:A215"/>
    <mergeCell ref="A216:A217"/>
    <mergeCell ref="A218:A219"/>
    <mergeCell ref="A220:A221"/>
    <mergeCell ref="A224:A225"/>
    <mergeCell ref="C242:H242"/>
    <mergeCell ref="A243:H243"/>
    <mergeCell ref="C244:H244"/>
    <mergeCell ref="A247:A248"/>
    <mergeCell ref="C247:C248"/>
    <mergeCell ref="D247:D248"/>
    <mergeCell ref="E247:E248"/>
    <mergeCell ref="F247:F248"/>
    <mergeCell ref="G247:G248"/>
    <mergeCell ref="H247:H248"/>
    <mergeCell ref="A267:H267"/>
    <mergeCell ref="A268:A271"/>
    <mergeCell ref="C268:H268"/>
    <mergeCell ref="A272:A275"/>
    <mergeCell ref="C272:H272"/>
    <mergeCell ref="A276:A279"/>
    <mergeCell ref="C276:H276"/>
    <mergeCell ref="A251:H251"/>
    <mergeCell ref="A252:A258"/>
    <mergeCell ref="C252:H252"/>
    <mergeCell ref="A259:A262"/>
    <mergeCell ref="C259:H259"/>
    <mergeCell ref="A263:A266"/>
    <mergeCell ref="C263:H263"/>
    <mergeCell ref="A292:A295"/>
    <mergeCell ref="C292:H292"/>
    <mergeCell ref="A296:H296"/>
    <mergeCell ref="A305:A306"/>
    <mergeCell ref="A307:A308"/>
    <mergeCell ref="A309:A310"/>
    <mergeCell ref="A280:A283"/>
    <mergeCell ref="C280:H280"/>
    <mergeCell ref="A284:A287"/>
    <mergeCell ref="C284:H284"/>
    <mergeCell ref="A288:A291"/>
    <mergeCell ref="C288:H288"/>
    <mergeCell ref="A331:A332"/>
    <mergeCell ref="A333:A334"/>
    <mergeCell ref="A339:A340"/>
    <mergeCell ref="A341:A342"/>
    <mergeCell ref="A343:A344"/>
    <mergeCell ref="A345:A346"/>
    <mergeCell ref="A313:A314"/>
    <mergeCell ref="A315:A316"/>
    <mergeCell ref="C315:C316"/>
    <mergeCell ref="A323:H323"/>
    <mergeCell ref="A327:A328"/>
    <mergeCell ref="A329:A3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5" x14ac:dyDescent="0.25"/>
  <sheetData>
    <row r="1" spans="1:11" x14ac:dyDescent="0.25">
      <c r="F1">
        <v>0</v>
      </c>
      <c r="K1">
        <v>0</v>
      </c>
    </row>
    <row r="2" spans="1:11" x14ac:dyDescent="0.25">
      <c r="F2">
        <v>1</v>
      </c>
      <c r="K2">
        <f>K1+10</f>
        <v>10</v>
      </c>
    </row>
    <row r="3" spans="1:11" x14ac:dyDescent="0.25">
      <c r="F3">
        <v>2</v>
      </c>
      <c r="K3">
        <f t="shared" ref="K3:K7" si="0">K2+10</f>
        <v>20</v>
      </c>
    </row>
    <row r="4" spans="1:11" x14ac:dyDescent="0.25">
      <c r="F4">
        <v>3</v>
      </c>
      <c r="K4">
        <f t="shared" si="0"/>
        <v>30</v>
      </c>
    </row>
    <row r="5" spans="1:11" x14ac:dyDescent="0.25">
      <c r="F5">
        <v>4</v>
      </c>
      <c r="K5">
        <f t="shared" si="0"/>
        <v>40</v>
      </c>
    </row>
    <row r="6" spans="1:11" x14ac:dyDescent="0.25">
      <c r="F6">
        <v>5</v>
      </c>
      <c r="K6">
        <f t="shared" si="0"/>
        <v>50</v>
      </c>
    </row>
    <row r="7" spans="1:11" x14ac:dyDescent="0.25">
      <c r="F7">
        <v>6</v>
      </c>
      <c r="K7">
        <f t="shared" si="0"/>
        <v>60</v>
      </c>
    </row>
    <row r="8" spans="1:11" x14ac:dyDescent="0.25">
      <c r="F8">
        <v>7</v>
      </c>
      <c r="K8">
        <f>K7+10</f>
        <v>70</v>
      </c>
    </row>
    <row r="9" spans="1:11" x14ac:dyDescent="0.25">
      <c r="F9">
        <v>8</v>
      </c>
    </row>
    <row r="10" spans="1:11" x14ac:dyDescent="0.25">
      <c r="F10">
        <v>9</v>
      </c>
    </row>
    <row r="11" spans="1:11" x14ac:dyDescent="0.25">
      <c r="F11">
        <v>10</v>
      </c>
    </row>
    <row r="12" spans="1:11" x14ac:dyDescent="0.2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2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2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2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2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2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2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2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2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2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2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2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2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2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2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2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2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25">
      <c r="G29">
        <v>40</v>
      </c>
      <c r="H29">
        <f>gkt_gtu_tatm(G29)</f>
        <v>0.89959496259689331</v>
      </c>
      <c r="I29">
        <v>0.9</v>
      </c>
    </row>
    <row r="32" spans="1:13" x14ac:dyDescent="0.25">
      <c r="A32" t="s">
        <v>235</v>
      </c>
      <c r="C32" t="s">
        <v>236</v>
      </c>
    </row>
    <row r="33" spans="1:12" x14ac:dyDescent="0.2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2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2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2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2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2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2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2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2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2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2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2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2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2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2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2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2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2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2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2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2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5" x14ac:dyDescent="0.25"/>
  <cols>
    <col min="1" max="1" width="2.42578125" customWidth="1"/>
    <col min="2" max="2" width="22.28515625" customWidth="1"/>
  </cols>
  <sheetData>
    <row r="1" spans="3:14" ht="15.75" thickBot="1" x14ac:dyDescent="0.3">
      <c r="C1" s="433" t="s">
        <v>256</v>
      </c>
      <c r="D1" s="434"/>
      <c r="E1" s="434"/>
      <c r="F1" s="434"/>
      <c r="G1" s="434"/>
      <c r="H1" s="434"/>
      <c r="I1" s="435"/>
    </row>
    <row r="2" spans="3:14" ht="15.75" x14ac:dyDescent="0.25">
      <c r="C2" s="275" t="s">
        <v>10</v>
      </c>
      <c r="D2" s="276"/>
      <c r="E2" s="276"/>
      <c r="F2" s="276"/>
      <c r="G2" s="276"/>
      <c r="H2" s="276"/>
      <c r="I2" s="277"/>
      <c r="J2" s="23"/>
      <c r="K2" s="23"/>
      <c r="L2" s="23"/>
      <c r="M2" s="23"/>
      <c r="N2" s="23"/>
    </row>
    <row r="3" spans="3:14" ht="15.75" x14ac:dyDescent="0.2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75" x14ac:dyDescent="0.2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75" x14ac:dyDescent="0.2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75" x14ac:dyDescent="0.2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75" x14ac:dyDescent="0.25">
      <c r="C7" s="29"/>
      <c r="D7" s="30"/>
      <c r="E7" s="30"/>
      <c r="F7" s="30"/>
      <c r="G7" s="30"/>
      <c r="H7" s="30"/>
      <c r="I7" s="31"/>
    </row>
    <row r="8" spans="3:14" ht="15.75" x14ac:dyDescent="0.25">
      <c r="C8" s="29"/>
      <c r="D8" s="30"/>
      <c r="E8" s="30"/>
      <c r="F8" s="30"/>
      <c r="G8" s="30"/>
      <c r="H8" s="30"/>
      <c r="I8" s="31"/>
    </row>
    <row r="9" spans="3:14" ht="15.75" x14ac:dyDescent="0.25">
      <c r="C9" s="29"/>
      <c r="D9" s="30"/>
      <c r="E9" s="30"/>
      <c r="F9" s="30"/>
      <c r="G9" s="30"/>
      <c r="H9" s="30"/>
      <c r="I9" s="31"/>
    </row>
    <row r="10" spans="3:14" ht="15.75" x14ac:dyDescent="0.25">
      <c r="C10" s="282" t="s">
        <v>11</v>
      </c>
      <c r="D10" s="283"/>
      <c r="E10" s="283"/>
      <c r="F10" s="283"/>
      <c r="G10" s="283"/>
      <c r="H10" s="283"/>
      <c r="I10" s="284"/>
      <c r="J10" s="23"/>
      <c r="K10" s="23"/>
      <c r="L10" s="23"/>
      <c r="M10" s="23"/>
      <c r="N10" s="23"/>
    </row>
    <row r="11" spans="3:14" ht="15.75" x14ac:dyDescent="0.2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75" x14ac:dyDescent="0.2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75" x14ac:dyDescent="0.2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75" x14ac:dyDescent="0.2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75" x14ac:dyDescent="0.25">
      <c r="C15" s="29"/>
      <c r="D15" s="30"/>
      <c r="E15" s="30"/>
      <c r="F15" s="30"/>
      <c r="G15" s="30"/>
      <c r="H15" s="30"/>
      <c r="I15" s="31"/>
    </row>
    <row r="16" spans="3:14" ht="15.75" x14ac:dyDescent="0.25">
      <c r="C16" s="29"/>
      <c r="D16" s="30"/>
      <c r="E16" s="30"/>
      <c r="F16" s="30"/>
      <c r="G16" s="30"/>
      <c r="H16" s="30"/>
      <c r="I16" s="31"/>
    </row>
    <row r="17" spans="3:14" ht="15.75" x14ac:dyDescent="0.25">
      <c r="C17" s="29"/>
      <c r="D17" s="30"/>
      <c r="E17" s="30"/>
      <c r="F17" s="30"/>
      <c r="G17" s="30"/>
      <c r="H17" s="30"/>
      <c r="I17" s="31"/>
    </row>
    <row r="18" spans="3:14" ht="15.75" x14ac:dyDescent="0.25">
      <c r="C18" s="282" t="s">
        <v>14</v>
      </c>
      <c r="D18" s="283"/>
      <c r="E18" s="283"/>
      <c r="F18" s="283"/>
      <c r="G18" s="283"/>
      <c r="H18" s="283"/>
      <c r="I18" s="284"/>
      <c r="J18" s="23"/>
      <c r="K18" s="23"/>
      <c r="L18" s="23"/>
      <c r="M18" s="23"/>
      <c r="N18" s="23"/>
    </row>
    <row r="19" spans="3:14" ht="15.75" x14ac:dyDescent="0.2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75" x14ac:dyDescent="0.2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75" x14ac:dyDescent="0.2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75" x14ac:dyDescent="0.2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75" x14ac:dyDescent="0.25">
      <c r="C23" s="29"/>
      <c r="D23" s="30"/>
      <c r="E23" s="30"/>
      <c r="F23" s="30"/>
      <c r="G23" s="30"/>
      <c r="H23" s="30"/>
      <c r="I23" s="31"/>
    </row>
    <row r="24" spans="3:14" ht="15.75" x14ac:dyDescent="0.25">
      <c r="C24" s="29"/>
      <c r="D24" s="30"/>
      <c r="E24" s="30"/>
      <c r="F24" s="30"/>
      <c r="G24" s="30"/>
      <c r="H24" s="30"/>
      <c r="I24" s="31"/>
    </row>
    <row r="25" spans="3:14" ht="15.75" x14ac:dyDescent="0.25">
      <c r="C25" s="29"/>
      <c r="D25" s="30"/>
      <c r="E25" s="30"/>
      <c r="F25" s="30"/>
      <c r="G25" s="30"/>
      <c r="H25" s="30"/>
      <c r="I25" s="31"/>
    </row>
    <row r="26" spans="3:14" ht="15.75" x14ac:dyDescent="0.25">
      <c r="C26" s="282" t="s">
        <v>15</v>
      </c>
      <c r="D26" s="283"/>
      <c r="E26" s="283"/>
      <c r="F26" s="283"/>
      <c r="G26" s="283"/>
      <c r="H26" s="283"/>
      <c r="I26" s="284"/>
      <c r="J26" s="23"/>
      <c r="K26" s="23"/>
      <c r="L26" s="23"/>
      <c r="M26" s="23"/>
      <c r="N26" s="23"/>
    </row>
    <row r="27" spans="3:14" ht="15.75" x14ac:dyDescent="0.2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75" x14ac:dyDescent="0.2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75" x14ac:dyDescent="0.2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.5" thickBot="1" x14ac:dyDescent="0.3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Максимов</cp:lastModifiedBy>
  <dcterms:created xsi:type="dcterms:W3CDTF">2022-07-01T13:53:18Z</dcterms:created>
  <dcterms:modified xsi:type="dcterms:W3CDTF">2022-08-25T12:26:42Z</dcterms:modified>
</cp:coreProperties>
</file>