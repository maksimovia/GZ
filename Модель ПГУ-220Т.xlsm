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856145E3-C078-4C8D-926B-4E899BBC90A5}" xr6:coauthVersionLast="47" xr6:coauthVersionMax="47" xr10:uidLastSave="{00000000-0000-0000-0000-000000000000}"/>
  <bookViews>
    <workbookView xWindow="-14510" yWindow="-110" windowWidth="14620" windowHeight="25220" firstSheet="2" activeTab="2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66" i="13" l="1"/>
  <c r="J282" i="13" l="1"/>
  <c r="J285" i="13"/>
  <c r="H13" i="15" l="1"/>
  <c r="I13" i="15"/>
  <c r="J13" i="15"/>
  <c r="K13" i="15"/>
  <c r="H14" i="15"/>
  <c r="I14" i="15"/>
  <c r="J14" i="15"/>
  <c r="K14" i="15"/>
  <c r="H15" i="15"/>
  <c r="I15" i="15"/>
  <c r="J15" i="15"/>
  <c r="K15" i="15"/>
  <c r="H17" i="15"/>
  <c r="B13" i="15"/>
  <c r="C13" i="15"/>
  <c r="D13" i="15"/>
  <c r="D17" i="15" s="1"/>
  <c r="E13" i="15"/>
  <c r="E17" i="15" s="1"/>
  <c r="E18" i="15" s="1"/>
  <c r="F13" i="15"/>
  <c r="F17" i="15" s="1"/>
  <c r="G13" i="15"/>
  <c r="G17" i="15" s="1"/>
  <c r="B14" i="15"/>
  <c r="C14" i="15"/>
  <c r="D14" i="15"/>
  <c r="D18" i="15" s="1"/>
  <c r="E14" i="15"/>
  <c r="F14" i="15"/>
  <c r="G14" i="15"/>
  <c r="B15" i="15"/>
  <c r="C15" i="15"/>
  <c r="D15" i="15"/>
  <c r="E15" i="15"/>
  <c r="F15" i="15"/>
  <c r="G15" i="15"/>
  <c r="A14" i="15"/>
  <c r="A15" i="15"/>
  <c r="A13" i="15"/>
  <c r="A17" i="15" s="1"/>
  <c r="A18" i="15" s="1"/>
  <c r="B1" i="15"/>
  <c r="B5" i="15" s="1"/>
  <c r="C1" i="15"/>
  <c r="C5" i="15" s="1"/>
  <c r="D1" i="15"/>
  <c r="E1" i="15"/>
  <c r="F1" i="15"/>
  <c r="F5" i="15" s="1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A5" i="15" s="1"/>
  <c r="M274" i="13"/>
  <c r="L274" i="13"/>
  <c r="K274" i="13"/>
  <c r="J274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V6" i="14"/>
  <c r="F12" i="14"/>
  <c r="B17" i="15" l="1"/>
  <c r="B6" i="15"/>
  <c r="E5" i="15"/>
  <c r="E6" i="15"/>
  <c r="C18" i="15"/>
  <c r="D5" i="15"/>
  <c r="D6" i="15" s="1"/>
  <c r="F6" i="15"/>
  <c r="B18" i="15"/>
  <c r="I18" i="15"/>
  <c r="G18" i="15"/>
  <c r="C6" i="15"/>
  <c r="K17" i="15"/>
  <c r="K18" i="15" s="1"/>
  <c r="J17" i="15"/>
  <c r="J18" i="15" s="1"/>
  <c r="I17" i="15"/>
  <c r="C17" i="15"/>
  <c r="A6" i="15"/>
  <c r="F18" i="15"/>
  <c r="H18" i="15"/>
  <c r="M153" i="13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17" i="14"/>
  <c r="F5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J3" i="14"/>
  <c r="C40" i="14" l="1"/>
  <c r="F40" i="14"/>
  <c r="X22" i="14"/>
  <c r="F41" i="14"/>
  <c r="F39" i="14"/>
  <c r="J2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X20" i="14"/>
  <c r="S19" i="14"/>
  <c r="N4" i="14" l="1"/>
  <c r="K17" i="14" s="1"/>
  <c r="N46" i="14"/>
  <c r="B45" i="14"/>
  <c r="S45" i="14"/>
  <c r="T14" i="14"/>
  <c r="F44" i="14"/>
  <c r="S18" i="14"/>
  <c r="S22" i="14"/>
  <c r="G46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J8" i="14"/>
  <c r="C5" i="14"/>
  <c r="C44" i="14"/>
  <c r="S43" i="14"/>
  <c r="C17" i="14"/>
  <c r="S20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1" i="14"/>
  <c r="D9" i="14" l="1"/>
  <c r="C8" i="14" s="1"/>
  <c r="H9" i="14"/>
  <c r="F18" i="14"/>
  <c r="AY52" i="14"/>
  <c r="J11" i="14"/>
  <c r="F53" i="14"/>
  <c r="S34" i="14"/>
  <c r="AX52" i="14"/>
  <c r="J6" i="14"/>
  <c r="C6" i="14"/>
  <c r="S35" i="14" l="1"/>
  <c r="J16" i="14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S3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S44" i="8"/>
  <c r="R44" i="8"/>
  <c r="Q44" i="8"/>
  <c r="P44" i="8"/>
  <c r="O44" i="8"/>
  <c r="N44" i="8"/>
  <c r="S43" i="8"/>
  <c r="R43" i="8"/>
  <c r="Q43" i="8"/>
  <c r="P43" i="8"/>
  <c r="O43" i="8"/>
  <c r="N43" i="8"/>
  <c r="B23" i="8"/>
  <c r="B12" i="8"/>
  <c r="B15" i="8"/>
  <c r="B24" i="8"/>
  <c r="B20" i="8"/>
  <c r="B13" i="8"/>
  <c r="B17" i="8"/>
  <c r="B21" i="8"/>
  <c r="B25" i="8"/>
  <c r="B19" i="8"/>
  <c r="B14" i="8"/>
  <c r="B22" i="8"/>
  <c r="B18" i="8"/>
  <c r="B16" i="8"/>
  <c r="C24" i="14"/>
  <c r="T59" i="8" l="1"/>
  <c r="T53" i="8"/>
  <c r="T45" i="8"/>
  <c r="C82" i="14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D48" i="3"/>
  <c r="L27" i="3"/>
  <c r="J39" i="3"/>
  <c r="F37" i="3"/>
  <c r="C40" i="3"/>
  <c r="E45" i="3"/>
  <c r="E19" i="3"/>
  <c r="H23" i="3"/>
  <c r="C36" i="3"/>
  <c r="C44" i="3"/>
  <c r="A37" i="3"/>
  <c r="F47" i="3"/>
  <c r="M28" i="3"/>
  <c r="A14" i="3"/>
  <c r="A23" i="3"/>
  <c r="E25" i="3"/>
  <c r="A19" i="3"/>
  <c r="G40" i="3"/>
  <c r="K38" i="3"/>
  <c r="F49" i="3"/>
  <c r="F46" i="3"/>
  <c r="I44" i="3"/>
  <c r="E24" i="3"/>
  <c r="D41" i="3"/>
  <c r="M22" i="3"/>
  <c r="H20" i="3"/>
  <c r="L22" i="3"/>
  <c r="E36" i="3"/>
  <c r="D46" i="3"/>
  <c r="M21" i="3"/>
  <c r="E27" i="3"/>
  <c r="E52" i="3"/>
  <c r="L21" i="3"/>
  <c r="F44" i="3"/>
  <c r="H13" i="3"/>
  <c r="A33" i="3"/>
  <c r="A38" i="3"/>
  <c r="K44" i="3"/>
  <c r="G42" i="3"/>
  <c r="K24" i="3"/>
  <c r="C48" i="3"/>
  <c r="D34" i="3"/>
  <c r="E34" i="3"/>
  <c r="D39" i="3"/>
  <c r="F53" i="3"/>
  <c r="I41" i="3"/>
  <c r="C47" i="3"/>
  <c r="D50" i="3"/>
  <c r="A35" i="3"/>
  <c r="E16" i="3"/>
  <c r="K36" i="3"/>
  <c r="F38" i="3"/>
  <c r="H16" i="3"/>
  <c r="L26" i="3"/>
  <c r="F36" i="3"/>
  <c r="K43" i="3"/>
  <c r="K22" i="3"/>
  <c r="M24" i="3"/>
  <c r="C43" i="3"/>
  <c r="F39" i="3"/>
  <c r="E39" i="3"/>
  <c r="C34" i="3"/>
  <c r="A13" i="3"/>
  <c r="I36" i="3"/>
  <c r="F40" i="3"/>
  <c r="E48" i="3"/>
  <c r="H24" i="3"/>
  <c r="H19" i="3"/>
  <c r="G37" i="3"/>
  <c r="C35" i="3"/>
  <c r="A34" i="3"/>
  <c r="G51" i="3"/>
  <c r="D43" i="3"/>
  <c r="F43" i="3"/>
  <c r="F50" i="3"/>
  <c r="G48" i="3"/>
  <c r="A44" i="3"/>
  <c r="A17" i="3"/>
  <c r="A42" i="3"/>
  <c r="J42" i="3"/>
  <c r="H17" i="3"/>
  <c r="K41" i="3"/>
  <c r="G34" i="3"/>
  <c r="C45" i="3"/>
  <c r="F48" i="3"/>
  <c r="J44" i="3"/>
  <c r="A41" i="3"/>
  <c r="K40" i="3"/>
  <c r="C37" i="3"/>
  <c r="D35" i="3"/>
  <c r="A28" i="3"/>
  <c r="G47" i="3"/>
  <c r="J45" i="3"/>
  <c r="E17" i="3"/>
  <c r="G38" i="3"/>
  <c r="G41" i="3"/>
  <c r="E21" i="3"/>
  <c r="D38" i="3"/>
  <c r="H26" i="3"/>
  <c r="C46" i="3"/>
  <c r="H14" i="3"/>
  <c r="H18" i="3"/>
  <c r="D42" i="3"/>
  <c r="E37" i="3"/>
  <c r="K42" i="3"/>
  <c r="K27" i="3"/>
  <c r="D51" i="3"/>
  <c r="E23" i="3"/>
  <c r="E40" i="3"/>
  <c r="I35" i="3"/>
  <c r="J41" i="3"/>
  <c r="A27" i="3"/>
  <c r="H25" i="3"/>
  <c r="A39" i="3"/>
  <c r="A45" i="3"/>
  <c r="E18" i="3"/>
  <c r="A46" i="3"/>
  <c r="A25" i="3"/>
  <c r="L28" i="3"/>
  <c r="E20" i="3"/>
  <c r="E41" i="3"/>
  <c r="I39" i="3"/>
  <c r="E33" i="3"/>
  <c r="J35" i="3"/>
  <c r="A16" i="3"/>
  <c r="I40" i="3"/>
  <c r="K28" i="3"/>
  <c r="K23" i="3"/>
  <c r="F33" i="3"/>
  <c r="E43" i="3"/>
  <c r="A40" i="3"/>
  <c r="J36" i="3"/>
  <c r="A43" i="3"/>
  <c r="D47" i="3"/>
  <c r="L23" i="3"/>
  <c r="A21" i="3"/>
  <c r="I43" i="3"/>
  <c r="I38" i="3"/>
  <c r="K37" i="3"/>
  <c r="G50" i="3"/>
  <c r="C41" i="3"/>
  <c r="A20" i="3"/>
  <c r="M25" i="3"/>
  <c r="G45" i="3"/>
  <c r="I37" i="3"/>
  <c r="E49" i="3"/>
  <c r="D52" i="3"/>
  <c r="G36" i="3"/>
  <c r="F45" i="3"/>
  <c r="E53" i="3"/>
  <c r="F34" i="3"/>
  <c r="D40" i="3"/>
  <c r="J40" i="3"/>
  <c r="K21" i="3"/>
  <c r="E22" i="3"/>
  <c r="E47" i="3"/>
  <c r="M27" i="3"/>
  <c r="A15" i="3"/>
  <c r="L24" i="3"/>
  <c r="F52" i="3"/>
  <c r="G44" i="3"/>
  <c r="C38" i="3"/>
  <c r="D53" i="3"/>
  <c r="A48" i="3"/>
  <c r="D49" i="3"/>
  <c r="K35" i="3"/>
  <c r="H21" i="3"/>
  <c r="C42" i="3"/>
  <c r="E15" i="3"/>
  <c r="A36" i="3"/>
  <c r="G49" i="3"/>
  <c r="H12" i="3"/>
  <c r="E26" i="3"/>
  <c r="E46" i="3"/>
  <c r="J38" i="3"/>
  <c r="D33" i="3"/>
  <c r="D36" i="3"/>
  <c r="H15" i="3"/>
  <c r="K45" i="3"/>
  <c r="E44" i="3"/>
  <c r="G46" i="3"/>
  <c r="J43" i="3"/>
  <c r="K25" i="3"/>
  <c r="D44" i="3"/>
  <c r="H28" i="3"/>
  <c r="D45" i="3"/>
  <c r="C39" i="3"/>
  <c r="G53" i="3"/>
  <c r="G43" i="3"/>
  <c r="E14" i="3"/>
  <c r="F41" i="3"/>
  <c r="J37" i="3"/>
  <c r="E51" i="3"/>
  <c r="A18" i="3"/>
  <c r="G33" i="3"/>
  <c r="A47" i="3"/>
  <c r="G52" i="3"/>
  <c r="H22" i="3"/>
  <c r="F51" i="3"/>
  <c r="E28" i="3"/>
  <c r="M26" i="3"/>
  <c r="A26" i="3"/>
  <c r="K39" i="3"/>
  <c r="H29" i="3"/>
  <c r="K26" i="3"/>
  <c r="G39" i="3"/>
  <c r="M23" i="3"/>
  <c r="F35" i="3"/>
  <c r="C33" i="3"/>
  <c r="E42" i="3"/>
  <c r="D37" i="3"/>
  <c r="G35" i="3"/>
  <c r="E38" i="3"/>
  <c r="H27" i="3"/>
  <c r="F42" i="3"/>
  <c r="A22" i="3"/>
  <c r="I42" i="3"/>
  <c r="L25" i="3"/>
  <c r="E35" i="3"/>
  <c r="E50" i="3"/>
  <c r="A24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6" i="14"/>
  <c r="N11" i="14"/>
  <c r="N12" i="14" l="1"/>
  <c r="R5" i="14"/>
  <c r="N10" i="14"/>
  <c r="R2" i="14"/>
  <c r="R3" i="14"/>
  <c r="R8" i="14"/>
  <c r="V5" i="14" l="1"/>
  <c r="R9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<sst xmlns="http://schemas.openxmlformats.org/spreadsheetml/2006/main" count="1539" uniqueCount="376">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</sst>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="85" zoomScaleNormal="85" workbookViewId="0">
      <selection activeCell="F5" sqref="F5"/>
    </sheetView>
  </sheetViews>
  <sheetFormatPr defaultColWidth="8.7265625"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81640625" style="36" bestFit="1" customWidth="1"/>
    <col min="7" max="7" width="8.7265625" style="36"/>
    <col min="8" max="8" width="12.453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abSelected="1" zoomScale="70" zoomScaleNormal="70" workbookViewId="0">
      <selection activeCell="C61" sqref="C61"/>
    </sheetView>
  </sheetViews>
  <sheetFormatPr defaultColWidth="8.7265625"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5.5" thickTop="1" thickBot="1" x14ac:dyDescent="0.4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65" customHeight="1" thickTop="1" thickBot="1" x14ac:dyDescent="0.4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5.5" thickTop="1" thickBot="1" x14ac:dyDescent="0.4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65" customHeight="1" thickTop="1" thickBot="1" x14ac:dyDescent="0.4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5.5" thickTop="1" thickBot="1" x14ac:dyDescent="0.4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" thickBot="1" x14ac:dyDescent="0.4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" thickBot="1" x14ac:dyDescent="0.4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" thickBot="1" x14ac:dyDescent="0.4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65" customHeight="1" thickTop="1" thickBot="1" x14ac:dyDescent="0.4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5.5" thickTop="1" thickBot="1" x14ac:dyDescent="0.4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" thickBot="1" x14ac:dyDescent="0.4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" thickBot="1" x14ac:dyDescent="0.4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" thickBot="1" x14ac:dyDescent="0.4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" thickBot="1" x14ac:dyDescent="0.4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" thickBot="1" x14ac:dyDescent="0.4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" thickBot="1" x14ac:dyDescent="0.4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5" thickBot="1" x14ac:dyDescent="0.4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65" customHeight="1" thickTop="1" thickBot="1" x14ac:dyDescent="0.4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65" customHeight="1" thickTop="1" thickBot="1" x14ac:dyDescent="0.4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6.5" thickTop="1" thickBot="1" x14ac:dyDescent="0.4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6.5" thickTop="1" thickBot="1" x14ac:dyDescent="0.4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6" thickTop="1" thickBot="1" x14ac:dyDescent="0.4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6.5" thickTop="1" thickBot="1" x14ac:dyDescent="0.4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" thickBot="1" x14ac:dyDescent="0.4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6.5" thickTop="1" thickBot="1" x14ac:dyDescent="0.4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6.5" thickTop="1" thickBot="1" x14ac:dyDescent="0.4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6.5" thickTop="1" thickBot="1" x14ac:dyDescent="0.4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6.5" thickTop="1" thickBot="1" x14ac:dyDescent="0.4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6.5" thickTop="1" thickBot="1" x14ac:dyDescent="0.4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6.5" thickTop="1" thickBot="1" x14ac:dyDescent="0.4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6.5" thickTop="1" thickBot="1" x14ac:dyDescent="0.4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6.5" thickTop="1" thickBot="1" x14ac:dyDescent="0.4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" thickBot="1" x14ac:dyDescent="0.4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6.5" thickTop="1" thickBot="1" x14ac:dyDescent="0.4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6.5" thickTop="1" thickBot="1" x14ac:dyDescent="0.4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6.5" thickTop="1" thickBot="1" x14ac:dyDescent="0.4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6.5" thickTop="1" thickBot="1" x14ac:dyDescent="0.4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6.5" thickTop="1" thickBot="1" x14ac:dyDescent="0.4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6" thickTop="1" thickBot="1" x14ac:dyDescent="0.4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6.5" thickTop="1" thickBot="1" x14ac:dyDescent="0.4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" thickBot="1" x14ac:dyDescent="0.4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6.5" thickTop="1" thickBot="1" x14ac:dyDescent="0.4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" thickBot="1" x14ac:dyDescent="0.4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6.5" thickTop="1" thickBot="1" x14ac:dyDescent="0.4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6.5" thickTop="1" thickBot="1" x14ac:dyDescent="0.4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6.5" thickTop="1" thickBot="1" x14ac:dyDescent="0.4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6.5" thickTop="1" thickBot="1" x14ac:dyDescent="0.4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6.5" thickTop="1" thickBot="1" x14ac:dyDescent="0.4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" thickBot="1" x14ac:dyDescent="0.4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7" thickTop="1" thickBot="1" x14ac:dyDescent="0.4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7" thickTop="1" thickBot="1" x14ac:dyDescent="0.4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7" thickTop="1" thickBot="1" x14ac:dyDescent="0.4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7" thickTop="1" thickBot="1" x14ac:dyDescent="0.4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workbookViewId="0">
      <selection activeCell="F36" sqref="F36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5"/>
  <sheetViews>
    <sheetView topLeftCell="A4" zoomScale="85" zoomScaleNormal="85" workbookViewId="0">
      <selection activeCell="C65" sqref="C65"/>
    </sheetView>
  </sheetViews>
  <sheetFormatPr defaultColWidth="8.7265625" defaultRowHeight="14.5" x14ac:dyDescent="0.35"/>
  <cols>
    <col min="1" max="1" width="8.7265625" style="169"/>
    <col min="2" max="2" width="24.17968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5.5" thickTop="1" thickBot="1" x14ac:dyDescent="0.4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29" thickTop="1" thickBot="1" x14ac:dyDescent="0.4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29" thickTop="1" thickBot="1" x14ac:dyDescent="0.4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" thickBot="1" x14ac:dyDescent="0.4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" thickBot="1" x14ac:dyDescent="0.4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" thickBot="1" x14ac:dyDescent="0.4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29" thickTop="1" thickBot="1" x14ac:dyDescent="0.4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" thickBot="1" x14ac:dyDescent="0.4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31.5" thickBot="1" x14ac:dyDescent="0.4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31.5" thickTop="1" x14ac:dyDescent="0.3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31.5" thickBot="1" x14ac:dyDescent="0.4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6.5" thickTop="1" thickBot="1" x14ac:dyDescent="0.4">
      <c r="A164" s="295">
        <v>13</v>
      </c>
      <c r="B164" s="141" t="s">
        <v>36</v>
      </c>
      <c r="C164" s="308"/>
      <c r="D164" s="309"/>
      <c r="E164" s="309"/>
      <c r="F164" s="309"/>
      <c r="G164" s="309"/>
      <c r="H164" s="310"/>
      <c r="I164" s="42"/>
      <c r="J164" s="43"/>
      <c r="K164" s="42"/>
      <c r="L164" s="42"/>
      <c r="M164" s="42"/>
      <c r="N164" s="42"/>
      <c r="O164" s="42"/>
    </row>
    <row r="165" spans="1:15" ht="16.5" thickTop="1" thickBot="1" x14ac:dyDescent="0.4">
      <c r="A165" s="314"/>
      <c r="B165" s="123" t="s">
        <v>31</v>
      </c>
      <c r="C165" s="124">
        <v>0</v>
      </c>
      <c r="D165" s="125">
        <v>0</v>
      </c>
      <c r="E165" s="124">
        <v>0</v>
      </c>
      <c r="F165" s="124">
        <v>0</v>
      </c>
      <c r="G165" s="124">
        <v>0</v>
      </c>
      <c r="H165" s="125">
        <v>0</v>
      </c>
      <c r="I165" s="42"/>
      <c r="J165" s="43"/>
      <c r="K165" s="42"/>
      <c r="L165" s="42"/>
      <c r="M165" s="42"/>
      <c r="N165" s="42"/>
      <c r="O165" s="42"/>
    </row>
    <row r="166" spans="1:15" ht="16" thickBot="1" x14ac:dyDescent="0.4">
      <c r="A166" s="314"/>
      <c r="B166" s="121" t="s">
        <v>26</v>
      </c>
      <c r="C166" s="189">
        <v>0.184</v>
      </c>
      <c r="D166" s="117">
        <v>0.189</v>
      </c>
      <c r="E166" s="127">
        <v>0.19500000000000001</v>
      </c>
      <c r="F166" s="189">
        <v>0.19400000000000001</v>
      </c>
      <c r="G166" s="127">
        <v>0.188</v>
      </c>
      <c r="H166" s="117">
        <v>0.18</v>
      </c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294"/>
      <c r="B167" s="121" t="s">
        <v>27</v>
      </c>
      <c r="C167" s="189">
        <v>118.4</v>
      </c>
      <c r="D167" s="117">
        <v>119.3</v>
      </c>
      <c r="E167" s="127">
        <v>120.4</v>
      </c>
      <c r="F167" s="189">
        <v>121.1</v>
      </c>
      <c r="G167" s="127">
        <v>123.9</v>
      </c>
      <c r="H167" s="117">
        <v>129.9</v>
      </c>
      <c r="I167" s="42"/>
      <c r="J167" s="43"/>
      <c r="K167" s="42"/>
      <c r="L167" s="42"/>
      <c r="M167" s="42"/>
      <c r="N167" s="42"/>
      <c r="O167" s="42"/>
    </row>
    <row r="168" spans="1:15" ht="16.5" thickTop="1" thickBot="1" x14ac:dyDescent="0.4">
      <c r="A168" s="295">
        <v>14</v>
      </c>
      <c r="B168" s="123" t="s">
        <v>37</v>
      </c>
      <c r="C168" s="324"/>
      <c r="D168" s="325"/>
      <c r="E168" s="325"/>
      <c r="F168" s="325"/>
      <c r="G168" s="325"/>
      <c r="H168" s="326"/>
      <c r="I168" s="42"/>
      <c r="J168" s="43"/>
      <c r="K168" s="42"/>
      <c r="L168" s="42"/>
      <c r="M168" s="42"/>
      <c r="N168" s="42"/>
      <c r="O168" s="42"/>
    </row>
    <row r="169" spans="1:15" ht="16" thickBot="1" x14ac:dyDescent="0.4">
      <c r="A169" s="314"/>
      <c r="B169" s="121" t="s">
        <v>31</v>
      </c>
      <c r="C169" s="127">
        <v>0</v>
      </c>
      <c r="D169" s="117">
        <v>0</v>
      </c>
      <c r="E169" s="127">
        <v>0</v>
      </c>
      <c r="F169" s="127">
        <v>0</v>
      </c>
      <c r="G169" s="127">
        <v>0</v>
      </c>
      <c r="H169" s="117">
        <v>0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314"/>
      <c r="B170" s="121" t="s">
        <v>26</v>
      </c>
      <c r="C170" s="189">
        <v>0.08</v>
      </c>
      <c r="D170" s="117">
        <v>8.2000000000000003E-2</v>
      </c>
      <c r="E170" s="127">
        <v>8.5000000000000006E-2</v>
      </c>
      <c r="F170" s="189">
        <v>8.4000000000000005E-2</v>
      </c>
      <c r="G170" s="127">
        <v>8.1000000000000003E-2</v>
      </c>
      <c r="H170" s="117">
        <v>7.9000000000000001E-2</v>
      </c>
      <c r="I170" s="42"/>
      <c r="J170" s="43"/>
      <c r="K170" s="42"/>
      <c r="L170" s="42"/>
      <c r="M170" s="42"/>
      <c r="N170" s="42"/>
      <c r="O170" s="42"/>
    </row>
    <row r="171" spans="1:15" ht="16.5" thickTop="1" thickBot="1" x14ac:dyDescent="0.4">
      <c r="A171" s="293"/>
      <c r="B171" s="123" t="s">
        <v>27</v>
      </c>
      <c r="C171" s="192">
        <v>93.4</v>
      </c>
      <c r="D171" s="125">
        <v>94</v>
      </c>
      <c r="E171" s="124">
        <v>95</v>
      </c>
      <c r="F171" s="192">
        <v>94.8</v>
      </c>
      <c r="G171" s="124">
        <v>93.9</v>
      </c>
      <c r="H171" s="125">
        <v>93</v>
      </c>
      <c r="I171" s="42"/>
      <c r="J171" s="43"/>
      <c r="K171" s="42"/>
      <c r="L171" s="42"/>
      <c r="M171" s="42"/>
      <c r="N171" s="42"/>
      <c r="O171" s="42"/>
    </row>
    <row r="172" spans="1:15" ht="16" thickBot="1" x14ac:dyDescent="0.4">
      <c r="A172" s="292">
        <v>15</v>
      </c>
      <c r="B172" s="121" t="s">
        <v>38</v>
      </c>
      <c r="C172" s="318"/>
      <c r="D172" s="319"/>
      <c r="E172" s="319"/>
      <c r="F172" s="319"/>
      <c r="G172" s="319"/>
      <c r="H172" s="320"/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314"/>
      <c r="B173" s="121" t="s">
        <v>31</v>
      </c>
      <c r="C173" s="189">
        <v>64.25</v>
      </c>
      <c r="D173" s="117">
        <v>65.61</v>
      </c>
      <c r="E173" s="127">
        <v>67.81</v>
      </c>
      <c r="F173" s="189">
        <v>67.22</v>
      </c>
      <c r="G173" s="127">
        <v>64.89</v>
      </c>
      <c r="H173" s="117">
        <v>61.55</v>
      </c>
      <c r="I173" s="42"/>
      <c r="J173" s="43"/>
      <c r="K173" s="42"/>
      <c r="L173" s="42"/>
      <c r="M173" s="42"/>
      <c r="N173" s="42"/>
      <c r="O173" s="42"/>
    </row>
    <row r="174" spans="1:15" ht="16.5" thickTop="1" thickBot="1" x14ac:dyDescent="0.4">
      <c r="A174" s="314"/>
      <c r="B174" s="121" t="s">
        <v>27</v>
      </c>
      <c r="C174" s="189">
        <v>93.4</v>
      </c>
      <c r="D174" s="117">
        <v>94</v>
      </c>
      <c r="E174" s="127">
        <v>95</v>
      </c>
      <c r="F174" s="189">
        <v>94.8</v>
      </c>
      <c r="G174" s="127">
        <v>93.9</v>
      </c>
      <c r="H174" s="117">
        <v>93</v>
      </c>
      <c r="I174" s="42"/>
      <c r="J174" s="43"/>
      <c r="K174" s="42"/>
      <c r="L174" s="42"/>
      <c r="M174" s="42"/>
      <c r="N174" s="42"/>
      <c r="O174" s="42"/>
    </row>
    <row r="175" spans="1:15" ht="47.5" thickTop="1" thickBot="1" x14ac:dyDescent="0.4">
      <c r="A175" s="294"/>
      <c r="B175" s="121" t="s">
        <v>114</v>
      </c>
      <c r="C175" s="189" t="s">
        <v>201</v>
      </c>
      <c r="D175" s="117" t="s">
        <v>201</v>
      </c>
      <c r="E175" s="127" t="s">
        <v>201</v>
      </c>
      <c r="F175" s="189" t="s">
        <v>202</v>
      </c>
      <c r="G175" s="127" t="s">
        <v>203</v>
      </c>
      <c r="H175" s="117" t="s">
        <v>204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295">
        <v>16</v>
      </c>
      <c r="B176" s="121" t="s">
        <v>53</v>
      </c>
      <c r="C176" s="308"/>
      <c r="D176" s="309"/>
      <c r="E176" s="309"/>
      <c r="F176" s="309"/>
      <c r="G176" s="309"/>
      <c r="H176" s="310"/>
      <c r="I176" s="42"/>
      <c r="J176" s="43"/>
      <c r="K176" s="42"/>
      <c r="L176" s="42"/>
      <c r="M176" s="42"/>
      <c r="N176" s="42"/>
      <c r="O176" s="42"/>
    </row>
    <row r="177" spans="1:15" ht="16.5" thickTop="1" thickBot="1" x14ac:dyDescent="0.4">
      <c r="A177" s="314"/>
      <c r="B177" s="121" t="s">
        <v>31</v>
      </c>
      <c r="C177" s="189">
        <v>64.25</v>
      </c>
      <c r="D177" s="117">
        <v>65.61</v>
      </c>
      <c r="E177" s="127">
        <v>67.81</v>
      </c>
      <c r="F177" s="189">
        <v>67.22</v>
      </c>
      <c r="G177" s="127">
        <v>64.89</v>
      </c>
      <c r="H177" s="117">
        <v>61.55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314"/>
      <c r="B178" s="121" t="s">
        <v>26</v>
      </c>
      <c r="C178" s="189">
        <v>6.0000000000000001E-3</v>
      </c>
      <c r="D178" s="117">
        <v>7.0000000000000001E-3</v>
      </c>
      <c r="E178" s="127">
        <v>8.0000000000000002E-3</v>
      </c>
      <c r="F178" s="189">
        <v>8.9999999999999993E-3</v>
      </c>
      <c r="G178" s="127">
        <v>1.0999999999999999E-2</v>
      </c>
      <c r="H178" s="117">
        <v>1.7000000000000001E-2</v>
      </c>
      <c r="I178" s="42"/>
      <c r="J178" s="43"/>
      <c r="K178" s="42"/>
      <c r="L178" s="42"/>
      <c r="M178" s="42"/>
      <c r="N178" s="42"/>
      <c r="O178" s="42"/>
    </row>
    <row r="179" spans="1:15" ht="47.5" thickTop="1" thickBot="1" x14ac:dyDescent="0.4">
      <c r="A179" s="294"/>
      <c r="B179" s="121" t="s">
        <v>122</v>
      </c>
      <c r="C179" s="189" t="s">
        <v>205</v>
      </c>
      <c r="D179" s="117" t="s">
        <v>206</v>
      </c>
      <c r="E179" s="127" t="s">
        <v>207</v>
      </c>
      <c r="F179" s="189" t="s">
        <v>208</v>
      </c>
      <c r="G179" s="127" t="s">
        <v>209</v>
      </c>
      <c r="H179" s="117" t="s">
        <v>210</v>
      </c>
      <c r="I179" s="42"/>
      <c r="J179" s="43"/>
      <c r="K179" s="42"/>
      <c r="L179" s="42"/>
      <c r="M179" s="42"/>
      <c r="N179" s="42"/>
      <c r="O179" s="42"/>
    </row>
    <row r="180" spans="1:15" ht="16" thickTop="1" thickBot="1" x14ac:dyDescent="0.4">
      <c r="A180" s="302" t="s">
        <v>63</v>
      </c>
      <c r="B180" s="303"/>
      <c r="C180" s="303"/>
      <c r="D180" s="303"/>
      <c r="E180" s="303"/>
      <c r="F180" s="303"/>
      <c r="G180" s="303"/>
      <c r="H180" s="304"/>
      <c r="I180" s="42"/>
      <c r="J180" s="43"/>
      <c r="K180" s="42"/>
      <c r="L180" s="42"/>
      <c r="M180" s="42"/>
      <c r="N180" s="42"/>
      <c r="O180" s="42"/>
    </row>
    <row r="181" spans="1:15" ht="16.5" thickTop="1" thickBot="1" x14ac:dyDescent="0.4">
      <c r="A181" s="134">
        <v>17</v>
      </c>
      <c r="B181" s="121" t="s">
        <v>26</v>
      </c>
      <c r="C181" s="189">
        <v>6.0000000000000001E-3</v>
      </c>
      <c r="D181" s="117">
        <v>7.0000000000000001E-3</v>
      </c>
      <c r="E181" s="127">
        <v>8.0000000000000002E-3</v>
      </c>
      <c r="F181" s="189">
        <v>8.9999999999999993E-3</v>
      </c>
      <c r="G181" s="127">
        <v>1.0999999999999999E-2</v>
      </c>
      <c r="H181" s="117">
        <v>1.7000000000000001E-2</v>
      </c>
      <c r="I181" s="42"/>
      <c r="J181" s="43"/>
      <c r="K181" s="42"/>
      <c r="L181" s="42"/>
      <c r="M181" s="42"/>
      <c r="N181" s="42"/>
      <c r="O181" s="42"/>
    </row>
    <row r="182" spans="1:15" ht="32" thickTop="1" thickBot="1" x14ac:dyDescent="0.4">
      <c r="A182" s="134">
        <v>18</v>
      </c>
      <c r="B182" s="121" t="s">
        <v>64</v>
      </c>
      <c r="C182" s="189">
        <v>35.450000000000003</v>
      </c>
      <c r="D182" s="117">
        <v>38.869999999999997</v>
      </c>
      <c r="E182" s="127">
        <v>41.51</v>
      </c>
      <c r="F182" s="189">
        <v>43.46</v>
      </c>
      <c r="G182" s="127">
        <v>47.73</v>
      </c>
      <c r="H182" s="117">
        <v>56.87</v>
      </c>
      <c r="I182" s="42"/>
      <c r="J182" s="43"/>
      <c r="K182" s="42"/>
      <c r="L182" s="42"/>
      <c r="M182" s="42"/>
      <c r="N182" s="42"/>
      <c r="O182" s="42"/>
    </row>
    <row r="183" spans="1:15" ht="32" thickTop="1" thickBot="1" x14ac:dyDescent="0.4">
      <c r="A183" s="134">
        <v>19</v>
      </c>
      <c r="B183" s="121" t="s">
        <v>65</v>
      </c>
      <c r="C183" s="189">
        <v>3611</v>
      </c>
      <c r="D183" s="117">
        <v>3611</v>
      </c>
      <c r="E183" s="127">
        <v>3611</v>
      </c>
      <c r="F183" s="189">
        <v>3611</v>
      </c>
      <c r="G183" s="127">
        <v>3611</v>
      </c>
      <c r="H183" s="117">
        <v>3611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20</v>
      </c>
      <c r="B184" s="121" t="s">
        <v>127</v>
      </c>
      <c r="C184" s="189">
        <v>13</v>
      </c>
      <c r="D184" s="117">
        <v>16</v>
      </c>
      <c r="E184" s="127">
        <v>18</v>
      </c>
      <c r="F184" s="189">
        <v>20</v>
      </c>
      <c r="G184" s="127">
        <v>25</v>
      </c>
      <c r="H184" s="117">
        <v>35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21</v>
      </c>
      <c r="B185" s="121" t="s">
        <v>128</v>
      </c>
      <c r="C185" s="189">
        <v>22.4</v>
      </c>
      <c r="D185" s="117">
        <v>25.6</v>
      </c>
      <c r="E185" s="127">
        <v>27.9</v>
      </c>
      <c r="F185" s="189">
        <v>29.8</v>
      </c>
      <c r="G185" s="127">
        <v>34.5</v>
      </c>
      <c r="H185" s="117">
        <v>44.1</v>
      </c>
      <c r="I185" s="42"/>
      <c r="J185" s="43"/>
      <c r="K185" s="42"/>
      <c r="L185" s="42"/>
      <c r="M185" s="42"/>
      <c r="N185" s="42"/>
      <c r="O185" s="42"/>
    </row>
    <row r="186" spans="1:15" ht="31.5" thickTop="1" x14ac:dyDescent="0.35">
      <c r="A186" s="289">
        <v>22</v>
      </c>
      <c r="B186" s="59" t="s">
        <v>129</v>
      </c>
      <c r="C186" s="137"/>
      <c r="D186" s="139"/>
      <c r="E186" s="137"/>
      <c r="F186" s="137"/>
      <c r="G186" s="137"/>
      <c r="H186" s="139"/>
      <c r="I186" s="42"/>
      <c r="J186" s="43"/>
      <c r="K186" s="42"/>
      <c r="L186" s="42"/>
      <c r="M186" s="42"/>
      <c r="N186" s="42"/>
      <c r="O186" s="42"/>
    </row>
    <row r="187" spans="1:15" ht="16" thickBot="1" x14ac:dyDescent="0.4">
      <c r="A187" s="288"/>
      <c r="B187" s="121" t="s">
        <v>130</v>
      </c>
      <c r="C187" s="189">
        <v>38.200000000000003</v>
      </c>
      <c r="D187" s="117">
        <v>41.6</v>
      </c>
      <c r="E187" s="127">
        <v>44.3</v>
      </c>
      <c r="F187" s="189">
        <v>44.5</v>
      </c>
      <c r="G187" s="127">
        <v>50.5</v>
      </c>
      <c r="H187" s="117">
        <v>59.6</v>
      </c>
      <c r="I187" s="42"/>
      <c r="J187" s="43"/>
      <c r="K187" s="42"/>
      <c r="L187" s="42"/>
      <c r="M187" s="42"/>
      <c r="N187" s="42"/>
      <c r="O187" s="42"/>
    </row>
    <row r="188" spans="1:15" ht="32" thickTop="1" thickBot="1" x14ac:dyDescent="0.4">
      <c r="A188" s="134">
        <v>23</v>
      </c>
      <c r="B188" s="121" t="s">
        <v>131</v>
      </c>
      <c r="C188" s="127" t="s">
        <v>182</v>
      </c>
      <c r="D188" s="117" t="s">
        <v>182</v>
      </c>
      <c r="E188" s="127" t="s">
        <v>182</v>
      </c>
      <c r="F188" s="127" t="s">
        <v>182</v>
      </c>
      <c r="G188" s="127" t="s">
        <v>182</v>
      </c>
      <c r="H188" s="117" t="s">
        <v>182</v>
      </c>
      <c r="I188" s="42"/>
      <c r="J188" s="43"/>
      <c r="K188" s="42"/>
      <c r="L188" s="42"/>
      <c r="M188" s="42"/>
      <c r="N188" s="42"/>
      <c r="O188" s="42"/>
    </row>
    <row r="189" spans="1:15" ht="31.5" thickTop="1" x14ac:dyDescent="0.35">
      <c r="A189" s="289">
        <v>24</v>
      </c>
      <c r="B189" s="59" t="s">
        <v>132</v>
      </c>
      <c r="C189" s="137"/>
      <c r="D189" s="139"/>
      <c r="E189" s="137"/>
      <c r="F189" s="137"/>
      <c r="G189" s="137"/>
      <c r="H189" s="139"/>
      <c r="I189" s="42"/>
      <c r="J189" s="43"/>
      <c r="K189" s="42"/>
      <c r="L189" s="42"/>
      <c r="M189" s="42"/>
      <c r="N189" s="42"/>
      <c r="O189" s="42"/>
    </row>
    <row r="190" spans="1:15" ht="31.5" thickBot="1" x14ac:dyDescent="0.4">
      <c r="A190" s="288"/>
      <c r="B190" s="121" t="s">
        <v>72</v>
      </c>
      <c r="C190" s="189">
        <v>38.200000000000003</v>
      </c>
      <c r="D190" s="117">
        <v>41.6</v>
      </c>
      <c r="E190" s="127">
        <v>44.3</v>
      </c>
      <c r="F190" s="189">
        <v>44.5</v>
      </c>
      <c r="G190" s="127">
        <v>50.5</v>
      </c>
      <c r="H190" s="117">
        <v>59.6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89">
        <v>25</v>
      </c>
      <c r="B191" s="59" t="s">
        <v>133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16" thickBot="1" x14ac:dyDescent="0.4">
      <c r="A192" s="290"/>
      <c r="B192" s="123" t="s">
        <v>76</v>
      </c>
      <c r="C192" s="192">
        <v>64.81</v>
      </c>
      <c r="D192" s="125">
        <v>66.19</v>
      </c>
      <c r="E192" s="124">
        <v>68.38</v>
      </c>
      <c r="F192" s="192">
        <v>67.81</v>
      </c>
      <c r="G192" s="124">
        <v>65.45</v>
      </c>
      <c r="H192" s="125">
        <v>62.09</v>
      </c>
      <c r="I192" s="42"/>
      <c r="J192" s="43"/>
      <c r="K192" s="42"/>
      <c r="L192" s="42"/>
      <c r="M192" s="42"/>
      <c r="N192" s="42"/>
      <c r="O192" s="42"/>
    </row>
    <row r="193" spans="1:15" ht="31" x14ac:dyDescent="0.35">
      <c r="A193" s="287">
        <v>26</v>
      </c>
      <c r="B193" s="59" t="s">
        <v>75</v>
      </c>
      <c r="C193" s="137"/>
      <c r="D193" s="119"/>
      <c r="E193" s="138"/>
      <c r="F193" s="137"/>
      <c r="G193" s="138"/>
      <c r="H193" s="11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88"/>
      <c r="B194" s="121" t="s">
        <v>76</v>
      </c>
      <c r="C194" s="189">
        <v>74.47</v>
      </c>
      <c r="D194" s="117">
        <v>72.53</v>
      </c>
      <c r="E194" s="127">
        <v>72.53</v>
      </c>
      <c r="F194" s="189">
        <v>71.94</v>
      </c>
      <c r="G194" s="127">
        <v>63.92</v>
      </c>
      <c r="H194" s="117">
        <v>53.31</v>
      </c>
      <c r="I194" s="42"/>
      <c r="J194" s="43"/>
      <c r="K194" s="42"/>
      <c r="L194" s="42"/>
      <c r="M194" s="42"/>
      <c r="N194" s="42"/>
      <c r="O194" s="42"/>
    </row>
    <row r="195" spans="1:15" ht="31.5" thickTop="1" x14ac:dyDescent="0.35">
      <c r="A195" s="289">
        <v>27</v>
      </c>
      <c r="B195" s="59" t="s">
        <v>134</v>
      </c>
      <c r="C195" s="137"/>
      <c r="D195" s="139"/>
      <c r="E195" s="137"/>
      <c r="F195" s="137"/>
      <c r="G195" s="137"/>
      <c r="H195" s="13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8"/>
      <c r="B196" s="121" t="s">
        <v>135</v>
      </c>
      <c r="C196" s="189">
        <v>13.96</v>
      </c>
      <c r="D196" s="117">
        <v>11.57</v>
      </c>
      <c r="E196" s="127">
        <v>9.9700000000000006</v>
      </c>
      <c r="F196" s="189">
        <v>9.82</v>
      </c>
      <c r="G196" s="127">
        <v>5.6</v>
      </c>
      <c r="H196" s="117">
        <v>0.17</v>
      </c>
      <c r="I196" s="42"/>
      <c r="J196" s="43"/>
      <c r="K196" s="42"/>
      <c r="L196" s="42"/>
      <c r="M196" s="42"/>
      <c r="N196" s="42"/>
      <c r="O196" s="42"/>
    </row>
    <row r="197" spans="1:15" ht="32" thickTop="1" thickBot="1" x14ac:dyDescent="0.4">
      <c r="A197" s="134">
        <v>28</v>
      </c>
      <c r="B197" s="121" t="s">
        <v>211</v>
      </c>
      <c r="C197" s="189">
        <v>4.28</v>
      </c>
      <c r="D197" s="117">
        <v>5.23</v>
      </c>
      <c r="E197" s="127">
        <v>5.81</v>
      </c>
      <c r="F197" s="189">
        <v>5.69</v>
      </c>
      <c r="G197" s="127">
        <v>7.13</v>
      </c>
      <c r="H197" s="117">
        <v>8.94</v>
      </c>
      <c r="I197" s="42"/>
      <c r="J197" s="43"/>
      <c r="K197" s="42"/>
      <c r="L197" s="42"/>
      <c r="M197" s="42"/>
      <c r="N197" s="42"/>
      <c r="O197" s="42"/>
    </row>
    <row r="198" spans="1:15" ht="31.5" thickTop="1" x14ac:dyDescent="0.35">
      <c r="A198" s="289">
        <v>29</v>
      </c>
      <c r="B198" s="59" t="s">
        <v>136</v>
      </c>
      <c r="C198" s="137"/>
      <c r="D198" s="139"/>
      <c r="E198" s="137"/>
      <c r="F198" s="137"/>
      <c r="G198" s="137"/>
      <c r="H198" s="139"/>
      <c r="I198" s="42"/>
      <c r="J198" s="43"/>
      <c r="K198" s="42"/>
      <c r="L198" s="42"/>
      <c r="M198" s="42"/>
      <c r="N198" s="42"/>
      <c r="O198" s="42"/>
    </row>
    <row r="199" spans="1:15" ht="31.5" thickBot="1" x14ac:dyDescent="0.4">
      <c r="A199" s="288"/>
      <c r="B199" s="121" t="s">
        <v>137</v>
      </c>
      <c r="C199" s="189">
        <v>60</v>
      </c>
      <c r="D199" s="117">
        <v>60</v>
      </c>
      <c r="E199" s="127">
        <v>60</v>
      </c>
      <c r="F199" s="189">
        <v>60</v>
      </c>
      <c r="G199" s="127">
        <v>60</v>
      </c>
      <c r="H199" s="117">
        <v>60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89">
        <v>30</v>
      </c>
      <c r="B200" s="59" t="s">
        <v>129</v>
      </c>
      <c r="C200" s="412">
        <v>146.1</v>
      </c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8"/>
      <c r="B201" s="121" t="s">
        <v>212</v>
      </c>
      <c r="C201" s="413"/>
      <c r="D201" s="117">
        <v>146.80000000000001</v>
      </c>
      <c r="E201" s="127">
        <v>148</v>
      </c>
      <c r="F201" s="189">
        <v>147.6</v>
      </c>
      <c r="G201" s="127">
        <v>146.1</v>
      </c>
      <c r="H201" s="117">
        <v>143.9</v>
      </c>
      <c r="I201" s="42"/>
      <c r="J201" s="43"/>
      <c r="K201" s="42"/>
      <c r="L201" s="42"/>
      <c r="M201" s="42"/>
      <c r="N201" s="42"/>
      <c r="O201" s="42"/>
    </row>
    <row r="202" spans="1:15" ht="32" thickTop="1" thickBot="1" x14ac:dyDescent="0.4">
      <c r="A202" s="134">
        <v>31</v>
      </c>
      <c r="B202" s="121" t="s">
        <v>139</v>
      </c>
      <c r="C202" s="189">
        <v>166.2</v>
      </c>
      <c r="D202" s="117">
        <v>166.2</v>
      </c>
      <c r="E202" s="127">
        <v>166.3</v>
      </c>
      <c r="F202" s="189">
        <v>166.3</v>
      </c>
      <c r="G202" s="127">
        <v>166.2</v>
      </c>
      <c r="H202" s="117">
        <v>166.2</v>
      </c>
      <c r="I202" s="42"/>
      <c r="J202" s="43"/>
      <c r="K202" s="42"/>
      <c r="L202" s="42"/>
      <c r="M202" s="42"/>
      <c r="N202" s="42"/>
      <c r="O202" s="42"/>
    </row>
    <row r="203" spans="1:15" ht="32" thickTop="1" thickBot="1" x14ac:dyDescent="0.4">
      <c r="A203" s="135">
        <v>32</v>
      </c>
      <c r="B203" s="123" t="s">
        <v>83</v>
      </c>
      <c r="C203" s="192">
        <v>285.10000000000002</v>
      </c>
      <c r="D203" s="125">
        <v>286.2</v>
      </c>
      <c r="E203" s="124">
        <v>288.60000000000002</v>
      </c>
      <c r="F203" s="192">
        <v>288.10000000000002</v>
      </c>
      <c r="G203" s="124">
        <v>285.8</v>
      </c>
      <c r="H203" s="125">
        <v>282.39999999999998</v>
      </c>
      <c r="I203" s="42"/>
      <c r="J203" s="43"/>
      <c r="K203" s="42"/>
      <c r="L203" s="42"/>
      <c r="M203" s="42"/>
      <c r="N203" s="42"/>
      <c r="O203" s="42"/>
    </row>
    <row r="204" spans="1:15" ht="31.5" thickBot="1" x14ac:dyDescent="0.4">
      <c r="A204" s="134">
        <v>33</v>
      </c>
      <c r="B204" s="121" t="s">
        <v>84</v>
      </c>
      <c r="C204" s="189">
        <v>7.0529999999999999</v>
      </c>
      <c r="D204" s="117">
        <v>7.2409999999999997</v>
      </c>
      <c r="E204" s="127">
        <v>7.5389999999999997</v>
      </c>
      <c r="F204" s="189">
        <v>7.5</v>
      </c>
      <c r="G204" s="127">
        <v>7.3150000000000004</v>
      </c>
      <c r="H204" s="117">
        <v>7.0839999999999996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4">
        <v>34</v>
      </c>
      <c r="B205" s="121" t="s">
        <v>85</v>
      </c>
      <c r="C205" s="189">
        <v>0.55900000000000005</v>
      </c>
      <c r="D205" s="117">
        <v>0.56899999999999995</v>
      </c>
      <c r="E205" s="127">
        <v>0.58599999999999997</v>
      </c>
      <c r="F205" s="189">
        <v>0.58099999999999996</v>
      </c>
      <c r="G205" s="127">
        <v>0.55900000000000005</v>
      </c>
      <c r="H205" s="117">
        <v>0.52700000000000002</v>
      </c>
      <c r="I205" s="42"/>
      <c r="J205" s="43"/>
      <c r="K205" s="42"/>
      <c r="L205" s="42"/>
      <c r="M205" s="42"/>
      <c r="N205" s="42"/>
      <c r="O205" s="42"/>
    </row>
    <row r="206" spans="1:15" ht="15" thickTop="1" x14ac:dyDescent="0.35">
      <c r="A206" s="42"/>
      <c r="B206" s="42"/>
      <c r="C206" s="42"/>
      <c r="D206" s="42"/>
      <c r="E206" s="42"/>
      <c r="F206" s="42"/>
      <c r="G206" s="42"/>
      <c r="H206" s="42"/>
      <c r="I206" s="42"/>
      <c r="J206" s="43"/>
      <c r="K206" s="42"/>
      <c r="L206" s="42"/>
      <c r="M206" s="42"/>
      <c r="N206" s="42"/>
      <c r="O206" s="42"/>
    </row>
    <row r="207" spans="1:15" ht="16.5" thickBot="1" x14ac:dyDescent="0.4">
      <c r="A207" s="204" t="s">
        <v>200</v>
      </c>
      <c r="B207" s="42"/>
      <c r="C207" s="42"/>
      <c r="D207" s="42"/>
      <c r="E207" s="42"/>
      <c r="F207" s="42"/>
      <c r="G207" s="42"/>
      <c r="H207" s="42"/>
      <c r="I207" s="42"/>
      <c r="J207" s="43"/>
      <c r="K207" s="42"/>
      <c r="L207" s="42"/>
      <c r="M207" s="42"/>
      <c r="N207" s="42"/>
      <c r="O207" s="42"/>
    </row>
    <row r="208" spans="1:15" ht="16.5" thickTop="1" thickBot="1" x14ac:dyDescent="0.4">
      <c r="A208" s="311" t="s">
        <v>86</v>
      </c>
      <c r="B208" s="312"/>
      <c r="C208" s="312"/>
      <c r="D208" s="312"/>
      <c r="E208" s="312"/>
      <c r="F208" s="312"/>
      <c r="G208" s="312"/>
      <c r="H208" s="313"/>
      <c r="I208" s="42"/>
      <c r="J208" s="43"/>
      <c r="K208" s="42"/>
      <c r="L208" s="42"/>
      <c r="M208" s="42"/>
      <c r="N208" s="42"/>
      <c r="O208" s="42"/>
    </row>
    <row r="209" spans="1:15" ht="17" thickTop="1" thickBot="1" x14ac:dyDescent="0.4">
      <c r="A209" s="156">
        <v>35</v>
      </c>
      <c r="B209" s="150" t="s">
        <v>87</v>
      </c>
      <c r="C209" s="205">
        <v>127.3</v>
      </c>
      <c r="D209" s="152">
        <v>127.3</v>
      </c>
      <c r="E209" s="151">
        <v>127.3</v>
      </c>
      <c r="F209" s="205">
        <v>123.6</v>
      </c>
      <c r="G209" s="151">
        <v>111.9</v>
      </c>
      <c r="H209" s="152">
        <v>96.9</v>
      </c>
      <c r="I209" s="42"/>
      <c r="J209" s="43"/>
      <c r="K209" s="42"/>
      <c r="L209" s="42"/>
      <c r="M209" s="42"/>
      <c r="N209" s="42"/>
      <c r="O209" s="42"/>
    </row>
    <row r="210" spans="1:15" ht="17" thickTop="1" thickBot="1" x14ac:dyDescent="0.4">
      <c r="A210" s="156">
        <v>36</v>
      </c>
      <c r="B210" s="150" t="s">
        <v>88</v>
      </c>
      <c r="C210" s="205">
        <v>62.12</v>
      </c>
      <c r="D210" s="152">
        <v>62.8</v>
      </c>
      <c r="E210" s="151">
        <v>64.650000000000006</v>
      </c>
      <c r="F210" s="206">
        <v>63.71</v>
      </c>
      <c r="G210" s="151">
        <v>60.84</v>
      </c>
      <c r="H210" s="152">
        <v>56.36</v>
      </c>
      <c r="I210" s="42"/>
      <c r="J210" s="43"/>
      <c r="K210" s="42"/>
      <c r="L210" s="42"/>
      <c r="M210" s="42"/>
      <c r="N210" s="42"/>
      <c r="O210" s="42"/>
    </row>
    <row r="211" spans="1:15" ht="33" thickTop="1" thickBot="1" x14ac:dyDescent="0.4">
      <c r="A211" s="156">
        <v>37</v>
      </c>
      <c r="B211" s="150" t="s">
        <v>89</v>
      </c>
      <c r="C211" s="205">
        <v>189.42</v>
      </c>
      <c r="D211" s="152">
        <v>190.1</v>
      </c>
      <c r="E211" s="151">
        <v>191.95</v>
      </c>
      <c r="F211" s="205">
        <v>187.31</v>
      </c>
      <c r="G211" s="151">
        <v>172.7</v>
      </c>
      <c r="H211" s="152">
        <v>153.30000000000001</v>
      </c>
      <c r="I211" s="42"/>
      <c r="J211" s="43"/>
      <c r="K211" s="42"/>
      <c r="L211" s="42"/>
      <c r="M211" s="42"/>
      <c r="N211" s="42"/>
      <c r="O211" s="42"/>
    </row>
    <row r="212" spans="1:15" ht="33" thickTop="1" thickBot="1" x14ac:dyDescent="0.4">
      <c r="A212" s="305">
        <v>38</v>
      </c>
      <c r="B212" s="150" t="s">
        <v>140</v>
      </c>
      <c r="C212" s="151">
        <v>0</v>
      </c>
      <c r="D212" s="152">
        <v>0</v>
      </c>
      <c r="E212" s="151">
        <v>0</v>
      </c>
      <c r="F212" s="151">
        <v>0</v>
      </c>
      <c r="G212" s="151">
        <v>0</v>
      </c>
      <c r="H212" s="152">
        <v>0</v>
      </c>
      <c r="I212" s="42"/>
      <c r="J212" s="43"/>
      <c r="K212" s="42"/>
      <c r="L212" s="42"/>
      <c r="M212" s="42"/>
      <c r="N212" s="42"/>
      <c r="O212" s="42"/>
    </row>
    <row r="213" spans="1:15" ht="17" thickTop="1" thickBot="1" x14ac:dyDescent="0.4">
      <c r="A213" s="307"/>
      <c r="B213" s="157" t="s">
        <v>91</v>
      </c>
      <c r="C213" s="151">
        <v>0</v>
      </c>
      <c r="D213" s="152">
        <v>0</v>
      </c>
      <c r="E213" s="151">
        <v>0</v>
      </c>
      <c r="F213" s="151">
        <v>0</v>
      </c>
      <c r="G213" s="151">
        <v>0</v>
      </c>
      <c r="H213" s="152">
        <v>0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5">
        <v>39</v>
      </c>
      <c r="B214" s="150" t="s">
        <v>141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5">
        <v>40</v>
      </c>
      <c r="B216" s="150" t="s">
        <v>142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5">
        <v>41</v>
      </c>
      <c r="B218" s="150" t="s">
        <v>143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5">
        <v>42</v>
      </c>
      <c r="B220" s="150" t="s">
        <v>144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7"/>
      <c r="B221" s="157" t="s">
        <v>90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2.5" thickTop="1" x14ac:dyDescent="0.35">
      <c r="A222" s="161"/>
      <c r="B222" s="99" t="s">
        <v>145</v>
      </c>
      <c r="C222" s="137"/>
      <c r="D222" s="139"/>
      <c r="E222" s="137"/>
      <c r="F222" s="137"/>
      <c r="G222" s="137"/>
      <c r="H222" s="139"/>
      <c r="I222" s="42"/>
      <c r="J222" s="43"/>
      <c r="K222" s="42"/>
      <c r="L222" s="42"/>
      <c r="M222" s="42"/>
      <c r="N222" s="42"/>
      <c r="O222" s="42"/>
    </row>
    <row r="223" spans="1:15" ht="16.5" thickBot="1" x14ac:dyDescent="0.4">
      <c r="A223" s="156">
        <v>43</v>
      </c>
      <c r="B223" s="150" t="s">
        <v>146</v>
      </c>
      <c r="C223" s="205">
        <v>48.53</v>
      </c>
      <c r="D223" s="152">
        <v>48.53</v>
      </c>
      <c r="E223" s="151">
        <v>48.65</v>
      </c>
      <c r="F223" s="206">
        <v>47.51</v>
      </c>
      <c r="G223" s="151">
        <v>43.95</v>
      </c>
      <c r="H223" s="152">
        <v>39.61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298">
        <v>44</v>
      </c>
      <c r="B224" s="99" t="s">
        <v>94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32.5" thickBot="1" x14ac:dyDescent="0.4">
      <c r="A225" s="299"/>
      <c r="B225" s="150" t="s">
        <v>95</v>
      </c>
      <c r="C225" s="206">
        <v>150</v>
      </c>
      <c r="D225" s="152">
        <v>150</v>
      </c>
      <c r="E225" s="151">
        <v>150</v>
      </c>
      <c r="F225" s="206">
        <v>150</v>
      </c>
      <c r="G225" s="151">
        <v>150</v>
      </c>
      <c r="H225" s="152">
        <v>150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8">
        <v>45</v>
      </c>
      <c r="B226" s="99" t="s">
        <v>147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16.5" thickBot="1" x14ac:dyDescent="0.4">
      <c r="A227" s="299"/>
      <c r="B227" s="150" t="s">
        <v>97</v>
      </c>
      <c r="C227" s="151">
        <v>0</v>
      </c>
      <c r="D227" s="152">
        <v>0</v>
      </c>
      <c r="E227" s="151">
        <v>0</v>
      </c>
      <c r="F227" s="151">
        <v>0</v>
      </c>
      <c r="G227" s="151">
        <v>0</v>
      </c>
      <c r="H227" s="152">
        <v>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8">
        <v>46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299"/>
      <c r="B229" s="150" t="s">
        <v>98</v>
      </c>
      <c r="C229" s="205">
        <v>48.53</v>
      </c>
      <c r="D229" s="152">
        <v>48.53</v>
      </c>
      <c r="E229" s="151">
        <v>48.65</v>
      </c>
      <c r="F229" s="206">
        <v>47.51</v>
      </c>
      <c r="G229" s="151">
        <v>43.95</v>
      </c>
      <c r="H229" s="152">
        <v>39.61</v>
      </c>
      <c r="I229" s="42"/>
      <c r="J229" s="43"/>
      <c r="K229" s="42"/>
      <c r="L229" s="42"/>
      <c r="M229" s="42"/>
      <c r="N229" s="42"/>
      <c r="O229" s="42"/>
    </row>
    <row r="230" spans="1:15" ht="18.5" thickTop="1" x14ac:dyDescent="0.35">
      <c r="A230" s="298">
        <v>47</v>
      </c>
      <c r="B230" s="59"/>
      <c r="C230" s="145"/>
      <c r="D230" s="146"/>
      <c r="E230" s="145"/>
      <c r="F230" s="145"/>
      <c r="G230" s="145"/>
      <c r="H230" s="146"/>
      <c r="I230" s="42"/>
      <c r="J230" s="43"/>
      <c r="K230" s="42"/>
      <c r="L230" s="42"/>
      <c r="M230" s="42"/>
      <c r="N230" s="42"/>
      <c r="O230" s="42"/>
    </row>
    <row r="231" spans="1:15" ht="80" x14ac:dyDescent="0.35">
      <c r="A231" s="408"/>
      <c r="B231" s="99" t="s">
        <v>148</v>
      </c>
      <c r="C231" s="97"/>
      <c r="D231" s="139"/>
      <c r="E231" s="137"/>
      <c r="F231" s="137"/>
      <c r="G231" s="137"/>
      <c r="H231" s="139"/>
      <c r="I231" s="42"/>
      <c r="J231" s="43"/>
      <c r="K231" s="42"/>
      <c r="L231" s="42"/>
      <c r="M231" s="42"/>
      <c r="N231" s="42"/>
      <c r="O231" s="42"/>
    </row>
    <row r="232" spans="1:15" ht="16.5" thickBot="1" x14ac:dyDescent="0.4">
      <c r="A232" s="299"/>
      <c r="B232" s="147"/>
      <c r="C232" s="205">
        <v>256.2</v>
      </c>
      <c r="D232" s="152">
        <v>255.3</v>
      </c>
      <c r="E232" s="151">
        <v>253.5</v>
      </c>
      <c r="F232" s="206">
        <v>253.6</v>
      </c>
      <c r="G232" s="151">
        <v>254.5</v>
      </c>
      <c r="H232" s="152">
        <v>258.39999999999998</v>
      </c>
      <c r="I232" s="42"/>
      <c r="J232" s="43"/>
      <c r="K232" s="42"/>
      <c r="L232" s="42"/>
      <c r="M232" s="42"/>
      <c r="N232" s="42"/>
      <c r="O232" s="42"/>
    </row>
    <row r="233" spans="1:15" ht="33" thickTop="1" thickBot="1" x14ac:dyDescent="0.4">
      <c r="A233" s="156">
        <v>48</v>
      </c>
      <c r="B233" s="150" t="s">
        <v>149</v>
      </c>
      <c r="C233" s="205">
        <v>47.95</v>
      </c>
      <c r="D233" s="152">
        <v>48.12</v>
      </c>
      <c r="E233" s="151">
        <v>48.47</v>
      </c>
      <c r="F233" s="206">
        <v>48.43</v>
      </c>
      <c r="G233" s="151">
        <v>48.27</v>
      </c>
      <c r="H233" s="152">
        <v>47.55</v>
      </c>
      <c r="I233" s="42"/>
      <c r="J233" s="43"/>
      <c r="K233" s="42"/>
      <c r="L233" s="42"/>
      <c r="M233" s="42"/>
      <c r="N233" s="42"/>
      <c r="O233" s="42"/>
    </row>
    <row r="234" spans="1:15" ht="33" thickTop="1" thickBot="1" x14ac:dyDescent="0.4">
      <c r="A234" s="156">
        <v>49</v>
      </c>
      <c r="B234" s="150" t="s">
        <v>150</v>
      </c>
      <c r="C234" s="206">
        <v>1</v>
      </c>
      <c r="D234" s="152">
        <v>1</v>
      </c>
      <c r="E234" s="151">
        <v>1</v>
      </c>
      <c r="F234" s="206">
        <v>1</v>
      </c>
      <c r="G234" s="151">
        <v>1</v>
      </c>
      <c r="H234" s="152">
        <v>1</v>
      </c>
      <c r="I234" s="42"/>
      <c r="J234" s="43"/>
      <c r="K234" s="42"/>
      <c r="L234" s="42"/>
      <c r="M234" s="42"/>
      <c r="N234" s="42"/>
      <c r="O234" s="42"/>
    </row>
    <row r="235" spans="1:15" ht="15" thickTop="1" x14ac:dyDescent="0.35">
      <c r="A235" s="42"/>
      <c r="B235" s="42"/>
      <c r="C235" s="42"/>
      <c r="D235" s="42"/>
      <c r="E235" s="42"/>
      <c r="F235" s="42"/>
      <c r="G235" s="42"/>
      <c r="H235" s="42"/>
      <c r="I235" s="42"/>
      <c r="J235" s="43"/>
      <c r="K235" s="42"/>
      <c r="L235" s="42"/>
      <c r="M235" s="42"/>
      <c r="N235" s="42"/>
      <c r="O235" s="42"/>
    </row>
    <row r="236" spans="1:15" ht="15" x14ac:dyDescent="0.35">
      <c r="A236" s="113" t="s">
        <v>102</v>
      </c>
      <c r="B236" s="42"/>
      <c r="C236" s="42"/>
      <c r="D236" s="42"/>
      <c r="E236" s="42"/>
      <c r="F236" s="42"/>
      <c r="G236" s="42"/>
      <c r="H236" s="42"/>
      <c r="I236" s="42"/>
      <c r="J236" s="43"/>
      <c r="K236" s="42"/>
      <c r="L236" s="42"/>
      <c r="M236" s="42"/>
      <c r="N236" s="42"/>
      <c r="O236" s="42"/>
    </row>
    <row r="237" spans="1:15" ht="15" x14ac:dyDescent="0.35">
      <c r="A237" s="113" t="s">
        <v>213</v>
      </c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6" thickBot="1" x14ac:dyDescent="0.4">
      <c r="A238" s="114" t="s">
        <v>214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6.5" thickTop="1" thickBot="1" x14ac:dyDescent="0.4">
      <c r="A239" s="295" t="s">
        <v>0</v>
      </c>
      <c r="B239" s="289" t="s">
        <v>1</v>
      </c>
      <c r="C239" s="409" t="s">
        <v>107</v>
      </c>
      <c r="D239" s="410"/>
      <c r="E239" s="410"/>
      <c r="F239" s="410"/>
      <c r="G239" s="410"/>
      <c r="H239" s="411"/>
      <c r="I239" s="42"/>
      <c r="J239" s="43"/>
      <c r="K239" s="42"/>
      <c r="L239" s="42"/>
      <c r="M239" s="42"/>
      <c r="N239" s="42"/>
      <c r="O239" s="42"/>
    </row>
    <row r="240" spans="1:15" ht="16.5" thickTop="1" thickBot="1" x14ac:dyDescent="0.4">
      <c r="A240" s="314"/>
      <c r="B240" s="291"/>
      <c r="C240" s="117">
        <v>-40</v>
      </c>
      <c r="D240" s="117">
        <v>-28</v>
      </c>
      <c r="E240" s="118">
        <v>-10.199999999999999</v>
      </c>
      <c r="F240" s="117">
        <v>-3.1</v>
      </c>
      <c r="G240" s="117">
        <v>15</v>
      </c>
      <c r="H240" s="117">
        <v>37</v>
      </c>
      <c r="I240" s="42"/>
      <c r="J240" s="43"/>
      <c r="K240" s="42"/>
      <c r="L240" s="42"/>
      <c r="M240" s="42"/>
      <c r="N240" s="42"/>
      <c r="O240" s="42"/>
    </row>
    <row r="241" spans="1:15" ht="15.5" thickTop="1" thickBot="1" x14ac:dyDescent="0.4">
      <c r="A241" s="294"/>
      <c r="B241" s="288"/>
      <c r="C241" s="308"/>
      <c r="D241" s="309"/>
      <c r="E241" s="309"/>
      <c r="F241" s="309"/>
      <c r="G241" s="310"/>
      <c r="H241" s="174" t="s">
        <v>215</v>
      </c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203"/>
      <c r="B242" s="117" t="s">
        <v>3</v>
      </c>
      <c r="C242" s="405" t="s">
        <v>165</v>
      </c>
      <c r="D242" s="406"/>
      <c r="E242" s="406"/>
      <c r="F242" s="406"/>
      <c r="G242" s="406"/>
      <c r="H242" s="407"/>
      <c r="I242" s="42"/>
      <c r="J242" s="43"/>
      <c r="K242" s="42"/>
      <c r="L242" s="42"/>
      <c r="M242" s="42"/>
      <c r="N242" s="42"/>
      <c r="O242" s="42"/>
    </row>
    <row r="243" spans="1:15" ht="16" thickTop="1" thickBot="1" x14ac:dyDescent="0.4">
      <c r="A243" s="302" t="s">
        <v>8</v>
      </c>
      <c r="B243" s="303"/>
      <c r="C243" s="303"/>
      <c r="D243" s="303"/>
      <c r="E243" s="303"/>
      <c r="F243" s="303"/>
      <c r="G243" s="303"/>
      <c r="H243" s="304"/>
      <c r="I243" s="42"/>
      <c r="J243" s="43"/>
      <c r="K243" s="42"/>
      <c r="L243" s="42"/>
      <c r="M243" s="42"/>
      <c r="N243" s="42"/>
      <c r="O243" s="42"/>
    </row>
    <row r="244" spans="1:15" ht="32" thickTop="1" thickBot="1" x14ac:dyDescent="0.4">
      <c r="A244" s="120">
        <v>1</v>
      </c>
      <c r="B244" s="121" t="s">
        <v>9</v>
      </c>
      <c r="C244" s="327">
        <v>50</v>
      </c>
      <c r="D244" s="328"/>
      <c r="E244" s="328"/>
      <c r="F244" s="328"/>
      <c r="G244" s="328"/>
      <c r="H244" s="329"/>
      <c r="I244" s="42"/>
      <c r="J244" s="43"/>
      <c r="K244" s="42"/>
      <c r="L244" s="42"/>
      <c r="M244" s="42"/>
      <c r="N244" s="42"/>
      <c r="O244" s="42"/>
    </row>
    <row r="245" spans="1:15" ht="16.5" thickTop="1" thickBot="1" x14ac:dyDescent="0.4">
      <c r="A245" s="122">
        <v>2</v>
      </c>
      <c r="B245" s="123" t="s">
        <v>10</v>
      </c>
      <c r="C245" s="125">
        <v>84.5</v>
      </c>
      <c r="D245" s="125">
        <v>84.5</v>
      </c>
      <c r="E245" s="131">
        <v>84.5</v>
      </c>
      <c r="F245" s="125">
        <v>82.6</v>
      </c>
      <c r="G245" s="125">
        <v>74.7</v>
      </c>
      <c r="H245" s="125">
        <v>64.5</v>
      </c>
      <c r="I245" s="42"/>
      <c r="J245" s="43"/>
      <c r="K245" s="42"/>
      <c r="L245" s="42"/>
      <c r="M245" s="42"/>
      <c r="N245" s="42"/>
      <c r="O245" s="42"/>
    </row>
    <row r="246" spans="1:15" ht="16" thickBot="1" x14ac:dyDescent="0.4">
      <c r="A246" s="120">
        <v>3</v>
      </c>
      <c r="B246" s="121" t="s">
        <v>11</v>
      </c>
      <c r="C246" s="117">
        <v>27.83</v>
      </c>
      <c r="D246" s="117">
        <v>27.82</v>
      </c>
      <c r="E246" s="118">
        <v>27.79</v>
      </c>
      <c r="F246" s="117">
        <v>27.61</v>
      </c>
      <c r="G246" s="117">
        <v>27.02</v>
      </c>
      <c r="H246" s="117">
        <v>25.93</v>
      </c>
      <c r="I246" s="42"/>
      <c r="J246" s="43"/>
      <c r="K246" s="42"/>
      <c r="L246" s="42"/>
      <c r="M246" s="42"/>
      <c r="N246" s="42"/>
      <c r="O246" s="42"/>
    </row>
    <row r="247" spans="1:15" ht="16" thickTop="1" x14ac:dyDescent="0.35">
      <c r="A247" s="330">
        <v>4</v>
      </c>
      <c r="B247" s="59" t="s">
        <v>12</v>
      </c>
      <c r="C247" s="289">
        <v>6.19</v>
      </c>
      <c r="D247" s="289">
        <v>6.19</v>
      </c>
      <c r="E247" s="295">
        <v>6.2</v>
      </c>
      <c r="F247" s="289">
        <v>6.09</v>
      </c>
      <c r="G247" s="289">
        <v>5.63</v>
      </c>
      <c r="H247" s="289">
        <v>5.07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331"/>
      <c r="B248" s="121" t="s">
        <v>13</v>
      </c>
      <c r="C248" s="288"/>
      <c r="D248" s="288"/>
      <c r="E248" s="294"/>
      <c r="F248" s="288"/>
      <c r="G248" s="288"/>
      <c r="H248" s="288"/>
      <c r="I248" s="42"/>
      <c r="J248" s="43"/>
      <c r="K248" s="42"/>
      <c r="L248" s="42"/>
      <c r="M248" s="42"/>
      <c r="N248" s="42"/>
      <c r="O248" s="42"/>
    </row>
    <row r="249" spans="1:15" ht="32" thickTop="1" thickBot="1" x14ac:dyDescent="0.4">
      <c r="A249" s="122">
        <v>5</v>
      </c>
      <c r="B249" s="123" t="s">
        <v>14</v>
      </c>
      <c r="C249" s="125">
        <v>357</v>
      </c>
      <c r="D249" s="125">
        <v>362</v>
      </c>
      <c r="E249" s="131">
        <v>370.2</v>
      </c>
      <c r="F249" s="125">
        <v>367.2</v>
      </c>
      <c r="G249" s="125">
        <v>347.7</v>
      </c>
      <c r="H249" s="125">
        <v>317.60000000000002</v>
      </c>
      <c r="I249" s="42"/>
      <c r="J249" s="43"/>
      <c r="K249" s="42"/>
      <c r="L249" s="42"/>
      <c r="M249" s="42"/>
      <c r="N249" s="42"/>
      <c r="O249" s="42"/>
    </row>
    <row r="250" spans="1:15" ht="31.5" thickBot="1" x14ac:dyDescent="0.4">
      <c r="A250" s="120">
        <v>6</v>
      </c>
      <c r="B250" s="121" t="s">
        <v>15</v>
      </c>
      <c r="C250" s="117">
        <v>510.4</v>
      </c>
      <c r="D250" s="117">
        <v>514.1</v>
      </c>
      <c r="E250" s="118">
        <v>519.4</v>
      </c>
      <c r="F250" s="117">
        <v>521.6</v>
      </c>
      <c r="G250" s="117">
        <v>528.9</v>
      </c>
      <c r="H250" s="117">
        <v>544.5</v>
      </c>
      <c r="I250" s="42"/>
      <c r="J250" s="43"/>
      <c r="K250" s="42"/>
      <c r="L250" s="42"/>
      <c r="M250" s="42"/>
      <c r="N250" s="42"/>
      <c r="O250" s="42"/>
    </row>
    <row r="251" spans="1:15" ht="16" thickTop="1" thickBot="1" x14ac:dyDescent="0.4">
      <c r="A251" s="302" t="s">
        <v>16</v>
      </c>
      <c r="B251" s="303"/>
      <c r="C251" s="303"/>
      <c r="D251" s="303"/>
      <c r="E251" s="303"/>
      <c r="F251" s="303"/>
      <c r="G251" s="303"/>
      <c r="H251" s="304"/>
      <c r="I251" s="42"/>
      <c r="J251" s="43"/>
      <c r="K251" s="42"/>
      <c r="L251" s="42"/>
      <c r="M251" s="42"/>
      <c r="N251" s="42"/>
      <c r="O251" s="42"/>
    </row>
    <row r="252" spans="1:15" ht="32" thickTop="1" thickBot="1" x14ac:dyDescent="0.4">
      <c r="A252" s="289">
        <v>7</v>
      </c>
      <c r="B252" s="123" t="s">
        <v>110</v>
      </c>
      <c r="C252" s="324"/>
      <c r="D252" s="325"/>
      <c r="E252" s="325"/>
      <c r="F252" s="325"/>
      <c r="G252" s="325"/>
      <c r="H252" s="326"/>
      <c r="I252" s="42"/>
      <c r="J252" s="43"/>
      <c r="K252" s="42"/>
      <c r="L252" s="42"/>
      <c r="M252" s="42"/>
      <c r="N252" s="42"/>
      <c r="O252" s="42"/>
    </row>
    <row r="253" spans="1:15" ht="16" thickBot="1" x14ac:dyDescent="0.4">
      <c r="A253" s="291"/>
      <c r="B253" s="121" t="s">
        <v>18</v>
      </c>
      <c r="C253" s="117">
        <v>445.8</v>
      </c>
      <c r="D253" s="117">
        <v>448.2</v>
      </c>
      <c r="E253" s="118">
        <v>451.8</v>
      </c>
      <c r="F253" s="117">
        <v>453</v>
      </c>
      <c r="G253" s="117">
        <v>456.9</v>
      </c>
      <c r="H253" s="117">
        <v>465.3</v>
      </c>
      <c r="I253" s="42"/>
      <c r="J253" s="43"/>
      <c r="K253" s="42"/>
      <c r="L253" s="42"/>
      <c r="M253" s="42"/>
      <c r="N253" s="42"/>
      <c r="O253" s="42"/>
    </row>
    <row r="254" spans="1:15" ht="16.5" thickTop="1" thickBot="1" x14ac:dyDescent="0.4">
      <c r="A254" s="291"/>
      <c r="B254" s="123" t="s">
        <v>19</v>
      </c>
      <c r="C254" s="125">
        <v>277.5</v>
      </c>
      <c r="D254" s="125">
        <v>279.3</v>
      </c>
      <c r="E254" s="131">
        <v>282</v>
      </c>
      <c r="F254" s="125">
        <v>281.89999999999998</v>
      </c>
      <c r="G254" s="125">
        <v>280</v>
      </c>
      <c r="H254" s="125">
        <v>277.3</v>
      </c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1"/>
      <c r="B255" s="121" t="s">
        <v>20</v>
      </c>
      <c r="C255" s="117">
        <v>223.9</v>
      </c>
      <c r="D255" s="117">
        <v>224.3</v>
      </c>
      <c r="E255" s="118">
        <v>225.2</v>
      </c>
      <c r="F255" s="117">
        <v>224.8</v>
      </c>
      <c r="G255" s="117">
        <v>222.5</v>
      </c>
      <c r="H255" s="117">
        <v>218.9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1"/>
      <c r="B256" s="123" t="s">
        <v>21</v>
      </c>
      <c r="C256" s="125">
        <v>220.7</v>
      </c>
      <c r="D256" s="125">
        <v>221.2</v>
      </c>
      <c r="E256" s="131">
        <v>222</v>
      </c>
      <c r="F256" s="125">
        <v>221.7</v>
      </c>
      <c r="G256" s="125">
        <v>219.4</v>
      </c>
      <c r="H256" s="125">
        <v>215.9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1"/>
      <c r="B257" s="121" t="s">
        <v>22</v>
      </c>
      <c r="C257" s="117">
        <v>161</v>
      </c>
      <c r="D257" s="117">
        <v>161.30000000000001</v>
      </c>
      <c r="E257" s="118">
        <v>161.80000000000001</v>
      </c>
      <c r="F257" s="117">
        <v>161.6</v>
      </c>
      <c r="G257" s="117">
        <v>160.19999999999999</v>
      </c>
      <c r="H257" s="117">
        <v>158.19999999999999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0"/>
      <c r="B258" s="123" t="s">
        <v>23</v>
      </c>
      <c r="C258" s="125">
        <v>99.8</v>
      </c>
      <c r="D258" s="125">
        <v>101.5</v>
      </c>
      <c r="E258" s="131">
        <v>102.7</v>
      </c>
      <c r="F258" s="125">
        <v>103.3</v>
      </c>
      <c r="G258" s="125">
        <v>104</v>
      </c>
      <c r="H258" s="125">
        <v>92.1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87">
        <v>8</v>
      </c>
      <c r="B259" s="121" t="s">
        <v>24</v>
      </c>
      <c r="C259" s="318"/>
      <c r="D259" s="319"/>
      <c r="E259" s="319"/>
      <c r="F259" s="319"/>
      <c r="G259" s="319"/>
      <c r="H259" s="320"/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1"/>
      <c r="B260" s="123" t="s">
        <v>25</v>
      </c>
      <c r="C260" s="125">
        <v>41.97</v>
      </c>
      <c r="D260" s="125">
        <v>42.97</v>
      </c>
      <c r="E260" s="131">
        <v>44.5</v>
      </c>
      <c r="F260" s="125">
        <v>44.44</v>
      </c>
      <c r="G260" s="125">
        <v>43.17</v>
      </c>
      <c r="H260" s="125">
        <v>41.42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91"/>
      <c r="B261" s="121" t="s">
        <v>26</v>
      </c>
      <c r="C261" s="117">
        <v>5.5270000000000001</v>
      </c>
      <c r="D261" s="117">
        <v>5.6689999999999996</v>
      </c>
      <c r="E261" s="118">
        <v>5.8840000000000003</v>
      </c>
      <c r="F261" s="117">
        <v>5.8849999999999998</v>
      </c>
      <c r="G261" s="117">
        <v>5.7469999999999999</v>
      </c>
      <c r="H261" s="117">
        <v>5.5739999999999998</v>
      </c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0"/>
      <c r="B262" s="123" t="s">
        <v>27</v>
      </c>
      <c r="C262" s="125">
        <v>494.3</v>
      </c>
      <c r="D262" s="125">
        <v>497.1</v>
      </c>
      <c r="E262" s="131">
        <v>501.1</v>
      </c>
      <c r="F262" s="125">
        <v>503.1</v>
      </c>
      <c r="G262" s="125">
        <v>509.9</v>
      </c>
      <c r="H262" s="125">
        <v>524.1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87">
        <v>9</v>
      </c>
      <c r="B263" s="121" t="s">
        <v>28</v>
      </c>
      <c r="C263" s="318"/>
      <c r="D263" s="319"/>
      <c r="E263" s="319"/>
      <c r="F263" s="319"/>
      <c r="G263" s="319"/>
      <c r="H263" s="320"/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1"/>
      <c r="B264" s="121" t="s">
        <v>25</v>
      </c>
      <c r="C264" s="117">
        <v>10.57</v>
      </c>
      <c r="D264" s="117">
        <v>10.74</v>
      </c>
      <c r="E264" s="118">
        <v>11.04</v>
      </c>
      <c r="F264" s="117">
        <v>10.92</v>
      </c>
      <c r="G264" s="117">
        <v>10.17</v>
      </c>
      <c r="H264" s="117">
        <v>9.0299999999999994</v>
      </c>
      <c r="I264" s="42"/>
      <c r="J264" s="43"/>
      <c r="K264" s="42"/>
      <c r="L264" s="42"/>
      <c r="M264" s="42"/>
      <c r="N264" s="42"/>
      <c r="O264" s="42"/>
    </row>
    <row r="265" spans="1:15" ht="16.5" thickTop="1" thickBot="1" x14ac:dyDescent="0.4">
      <c r="A265" s="291"/>
      <c r="B265" s="123" t="s">
        <v>26</v>
      </c>
      <c r="C265" s="125">
        <v>0.46100000000000002</v>
      </c>
      <c r="D265" s="125">
        <v>0.46300000000000002</v>
      </c>
      <c r="E265" s="131">
        <v>0.46600000000000003</v>
      </c>
      <c r="F265" s="125">
        <v>0.46500000000000002</v>
      </c>
      <c r="G265" s="125">
        <v>0.45700000000000002</v>
      </c>
      <c r="H265" s="125">
        <v>0.44600000000000001</v>
      </c>
      <c r="I265" s="42"/>
      <c r="J265" s="43"/>
      <c r="K265" s="42"/>
      <c r="L265" s="42"/>
      <c r="M265" s="42"/>
      <c r="N265" s="42"/>
      <c r="O265" s="42"/>
    </row>
    <row r="266" spans="1:15" ht="16" thickBot="1" x14ac:dyDescent="0.4">
      <c r="A266" s="288"/>
      <c r="B266" s="121" t="s">
        <v>27</v>
      </c>
      <c r="C266" s="117">
        <v>200.9</v>
      </c>
      <c r="D266" s="117">
        <v>201.1</v>
      </c>
      <c r="E266" s="118">
        <v>201.5</v>
      </c>
      <c r="F266" s="117">
        <v>201.3</v>
      </c>
      <c r="G266" s="117">
        <v>200.4</v>
      </c>
      <c r="H266" s="117">
        <v>199</v>
      </c>
      <c r="I266" s="42"/>
      <c r="J266" s="43">
        <f>C261-C270</f>
        <v>0.32800000000000029</v>
      </c>
      <c r="K266" s="42"/>
      <c r="L266" s="42"/>
      <c r="M266" s="42"/>
      <c r="N266" s="42"/>
      <c r="O266" s="42"/>
    </row>
    <row r="267" spans="1:15" ht="16" thickTop="1" thickBot="1" x14ac:dyDescent="0.4">
      <c r="A267" s="302" t="s">
        <v>29</v>
      </c>
      <c r="B267" s="303"/>
      <c r="C267" s="303"/>
      <c r="D267" s="303"/>
      <c r="E267" s="303"/>
      <c r="F267" s="303"/>
      <c r="G267" s="303"/>
      <c r="H267" s="304"/>
      <c r="I267" s="42"/>
      <c r="J267" s="43"/>
      <c r="K267" s="42"/>
      <c r="L267" s="42"/>
      <c r="M267" s="42"/>
      <c r="N267" s="42"/>
      <c r="O267" s="42"/>
    </row>
    <row r="268" spans="1:15" ht="32" thickTop="1" thickBot="1" x14ac:dyDescent="0.4">
      <c r="A268" s="295">
        <v>10</v>
      </c>
      <c r="B268" s="121" t="s">
        <v>30</v>
      </c>
      <c r="C268" s="315"/>
      <c r="D268" s="316"/>
      <c r="E268" s="316"/>
      <c r="F268" s="316"/>
      <c r="G268" s="316"/>
      <c r="H268" s="317"/>
      <c r="I268" s="42"/>
      <c r="J268" s="43"/>
      <c r="K268" s="42"/>
      <c r="L268" s="42"/>
      <c r="M268" s="42"/>
      <c r="N268" s="42"/>
      <c r="O268" s="42"/>
    </row>
    <row r="269" spans="1:15" ht="16.5" thickTop="1" thickBot="1" x14ac:dyDescent="0.4">
      <c r="A269" s="314"/>
      <c r="B269" s="123" t="s">
        <v>25</v>
      </c>
      <c r="C269" s="125">
        <v>41.97</v>
      </c>
      <c r="D269" s="125">
        <v>42.97</v>
      </c>
      <c r="E269" s="131">
        <v>44.5</v>
      </c>
      <c r="F269" s="125">
        <v>44.44</v>
      </c>
      <c r="G269" s="125">
        <v>43.17</v>
      </c>
      <c r="H269" s="125">
        <v>41.42</v>
      </c>
      <c r="I269" s="42"/>
      <c r="J269" s="43"/>
      <c r="K269" s="42"/>
      <c r="L269" s="42"/>
      <c r="M269" s="42"/>
      <c r="N269" s="42"/>
      <c r="O269" s="42"/>
    </row>
    <row r="270" spans="1:15" ht="16" thickBot="1" x14ac:dyDescent="0.4">
      <c r="A270" s="314"/>
      <c r="B270" s="121" t="s">
        <v>26</v>
      </c>
      <c r="C270" s="117">
        <v>5.1989999999999998</v>
      </c>
      <c r="D270" s="117">
        <v>5.3310000000000004</v>
      </c>
      <c r="E270" s="118">
        <v>5.5289999999999999</v>
      </c>
      <c r="F270" s="117">
        <v>5.53</v>
      </c>
      <c r="G270" s="117">
        <v>5.4039999999999999</v>
      </c>
      <c r="H270" s="117">
        <v>5.2460000000000004</v>
      </c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293"/>
      <c r="B271" s="123" t="s">
        <v>32</v>
      </c>
      <c r="C271" s="125">
        <v>492.2</v>
      </c>
      <c r="D271" s="125">
        <v>495</v>
      </c>
      <c r="E271" s="131">
        <v>499</v>
      </c>
      <c r="F271" s="125">
        <v>500.9</v>
      </c>
      <c r="G271" s="125">
        <v>507.8</v>
      </c>
      <c r="H271" s="125">
        <v>522.1</v>
      </c>
      <c r="I271" s="42"/>
      <c r="J271" s="43"/>
      <c r="K271" s="42"/>
      <c r="L271" s="42"/>
      <c r="M271" s="42"/>
      <c r="N271" s="42"/>
      <c r="O271" s="42"/>
    </row>
    <row r="272" spans="1:15" ht="31.5" thickBot="1" x14ac:dyDescent="0.4">
      <c r="A272" s="292">
        <v>11</v>
      </c>
      <c r="B272" s="121" t="s">
        <v>33</v>
      </c>
      <c r="C272" s="318"/>
      <c r="D272" s="319"/>
      <c r="E272" s="319"/>
      <c r="F272" s="319"/>
      <c r="G272" s="319"/>
      <c r="H272" s="320"/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314"/>
      <c r="B273" s="123" t="s">
        <v>25</v>
      </c>
      <c r="C273" s="125">
        <v>10.57</v>
      </c>
      <c r="D273" s="125">
        <v>10.74</v>
      </c>
      <c r="E273" s="131">
        <v>11.04</v>
      </c>
      <c r="F273" s="125">
        <v>10.92</v>
      </c>
      <c r="G273" s="125">
        <v>10.17</v>
      </c>
      <c r="H273" s="125">
        <v>9.0299999999999994</v>
      </c>
      <c r="I273" s="42"/>
      <c r="J273" s="43"/>
      <c r="K273" s="42"/>
      <c r="L273" s="42"/>
      <c r="M273" s="42"/>
      <c r="N273" s="42"/>
      <c r="O273" s="42"/>
    </row>
    <row r="274" spans="1:15" ht="16" thickBot="1" x14ac:dyDescent="0.4">
      <c r="A274" s="314"/>
      <c r="B274" s="121" t="s">
        <v>26</v>
      </c>
      <c r="C274" s="117">
        <v>0.4</v>
      </c>
      <c r="D274" s="117">
        <v>0.4</v>
      </c>
      <c r="E274" s="118">
        <v>0.4</v>
      </c>
      <c r="F274" s="117">
        <v>0.4</v>
      </c>
      <c r="G274" s="117">
        <v>0.4</v>
      </c>
      <c r="H274" s="117">
        <v>0.4</v>
      </c>
      <c r="I274" s="42"/>
      <c r="J274" s="169">
        <f>E274-E278</f>
        <v>1.8000000000000016E-2</v>
      </c>
      <c r="K274" s="169">
        <f>F274-F278</f>
        <v>1.9000000000000017E-2</v>
      </c>
      <c r="L274" s="169">
        <f>G274-G278</f>
        <v>3.3000000000000029E-2</v>
      </c>
      <c r="M274" s="169">
        <f>H274-H278</f>
        <v>4.9000000000000044E-2</v>
      </c>
      <c r="N274" s="42"/>
      <c r="O274" s="42"/>
    </row>
    <row r="275" spans="1:15" ht="16.5" thickTop="1" thickBot="1" x14ac:dyDescent="0.4">
      <c r="A275" s="293"/>
      <c r="B275" s="123" t="s">
        <v>27</v>
      </c>
      <c r="C275" s="125">
        <v>199.4</v>
      </c>
      <c r="D275" s="125">
        <v>199.6</v>
      </c>
      <c r="E275" s="131">
        <v>199.8</v>
      </c>
      <c r="F275" s="125">
        <v>199.7</v>
      </c>
      <c r="G275" s="125">
        <v>199</v>
      </c>
      <c r="H275" s="125">
        <v>197.8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292">
        <v>12</v>
      </c>
      <c r="B276" s="123" t="s">
        <v>34</v>
      </c>
      <c r="C276" s="321"/>
      <c r="D276" s="322"/>
      <c r="E276" s="322"/>
      <c r="F276" s="322"/>
      <c r="G276" s="322"/>
      <c r="H276" s="323"/>
      <c r="I276" s="42"/>
      <c r="J276" s="43"/>
      <c r="K276" s="42"/>
      <c r="L276" s="42"/>
      <c r="M276" s="42"/>
      <c r="N276" s="42"/>
      <c r="O276" s="42"/>
    </row>
    <row r="277" spans="1:15" ht="16" thickBot="1" x14ac:dyDescent="0.4">
      <c r="A277" s="314"/>
      <c r="B277" s="121" t="s">
        <v>31</v>
      </c>
      <c r="C277" s="117">
        <v>52.33</v>
      </c>
      <c r="D277" s="117">
        <v>53.5</v>
      </c>
      <c r="E277" s="118">
        <v>55.33</v>
      </c>
      <c r="F277" s="117">
        <v>55.2</v>
      </c>
      <c r="G277" s="117">
        <v>53.14</v>
      </c>
      <c r="H277" s="117">
        <v>50.25</v>
      </c>
      <c r="I277" s="42"/>
      <c r="J277" s="43"/>
      <c r="K277" s="42"/>
      <c r="L277" s="42"/>
      <c r="M277" s="42"/>
      <c r="N277" s="42"/>
      <c r="O277" s="42"/>
    </row>
    <row r="278" spans="1:15" ht="16.5" thickTop="1" thickBot="1" x14ac:dyDescent="0.4">
      <c r="A278" s="314"/>
      <c r="B278" s="123" t="s">
        <v>26</v>
      </c>
      <c r="C278" s="125">
        <v>0.36</v>
      </c>
      <c r="D278" s="125">
        <v>0.36899999999999999</v>
      </c>
      <c r="E278" s="131">
        <v>0.38200000000000001</v>
      </c>
      <c r="F278" s="125">
        <v>0.38100000000000001</v>
      </c>
      <c r="G278" s="125">
        <v>0.36699999999999999</v>
      </c>
      <c r="H278" s="125">
        <v>0.35099999999999998</v>
      </c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294"/>
      <c r="B279" s="121" t="s">
        <v>35</v>
      </c>
      <c r="C279" s="117">
        <v>191.9</v>
      </c>
      <c r="D279" s="117">
        <v>193.2</v>
      </c>
      <c r="E279" s="118">
        <v>195.2</v>
      </c>
      <c r="F279" s="117">
        <v>196</v>
      </c>
      <c r="G279" s="117">
        <v>196.1</v>
      </c>
      <c r="H279" s="117">
        <v>205.8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295">
        <v>13</v>
      </c>
      <c r="B280" s="130" t="s">
        <v>36</v>
      </c>
      <c r="C280" s="366"/>
      <c r="D280" s="367"/>
      <c r="E280" s="367"/>
      <c r="F280" s="367"/>
      <c r="G280" s="367"/>
      <c r="H280" s="368"/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314"/>
      <c r="B281" s="121" t="s">
        <v>31</v>
      </c>
      <c r="C281" s="117">
        <v>0</v>
      </c>
      <c r="D281" s="117">
        <v>0</v>
      </c>
      <c r="E281" s="117">
        <v>0</v>
      </c>
      <c r="F281" s="117">
        <v>0</v>
      </c>
      <c r="G281" s="117">
        <v>0</v>
      </c>
      <c r="H281" s="117">
        <v>0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314"/>
      <c r="B282" s="123" t="s">
        <v>26</v>
      </c>
      <c r="C282" s="126">
        <v>0.15</v>
      </c>
      <c r="D282" s="125">
        <v>0.15379999999999999</v>
      </c>
      <c r="E282" s="125">
        <v>0.1595</v>
      </c>
      <c r="F282" s="125">
        <v>0.15909999999999999</v>
      </c>
      <c r="G282" s="126">
        <v>0.153</v>
      </c>
      <c r="H282" s="123">
        <v>0.1469</v>
      </c>
      <c r="I282" s="42"/>
      <c r="J282" s="42">
        <f>C274-C278</f>
        <v>4.0000000000000036E-2</v>
      </c>
      <c r="K282" s="42"/>
      <c r="L282" s="42"/>
      <c r="M282" s="42"/>
      <c r="N282" s="42"/>
      <c r="O282" s="42"/>
    </row>
    <row r="283" spans="1:15" ht="16" thickBot="1" x14ac:dyDescent="0.4">
      <c r="A283" s="294"/>
      <c r="B283" s="121" t="s">
        <v>27</v>
      </c>
      <c r="C283" s="128">
        <v>119.3</v>
      </c>
      <c r="D283" s="117">
        <v>120.4</v>
      </c>
      <c r="E283" s="117">
        <v>122.1</v>
      </c>
      <c r="F283" s="117">
        <v>122.9</v>
      </c>
      <c r="G283" s="118">
        <v>122.1</v>
      </c>
      <c r="H283" s="118">
        <v>131.6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295">
        <v>14</v>
      </c>
      <c r="B284" s="121" t="s">
        <v>37</v>
      </c>
      <c r="C284" s="308"/>
      <c r="D284" s="309"/>
      <c r="E284" s="309"/>
      <c r="F284" s="309"/>
      <c r="G284" s="309"/>
      <c r="H284" s="310"/>
      <c r="I284" s="42"/>
      <c r="J284" s="43"/>
      <c r="K284" s="42"/>
      <c r="L284" s="42"/>
      <c r="M284" s="42"/>
      <c r="N284" s="42"/>
      <c r="O284" s="42"/>
    </row>
    <row r="285" spans="1:15" ht="16.5" thickTop="1" thickBot="1" x14ac:dyDescent="0.4">
      <c r="A285" s="314"/>
      <c r="B285" s="123" t="s">
        <v>31</v>
      </c>
      <c r="C285" s="125">
        <v>0</v>
      </c>
      <c r="D285" s="125">
        <v>0</v>
      </c>
      <c r="E285" s="125">
        <v>0</v>
      </c>
      <c r="F285" s="125">
        <v>0</v>
      </c>
      <c r="G285" s="125">
        <v>0</v>
      </c>
      <c r="H285" s="125">
        <v>0</v>
      </c>
      <c r="I285" s="42"/>
      <c r="J285" s="43">
        <f>C273+C269</f>
        <v>52.54</v>
      </c>
      <c r="K285" s="42"/>
      <c r="L285" s="42"/>
      <c r="M285" s="42"/>
      <c r="N285" s="42"/>
      <c r="O285" s="42"/>
    </row>
    <row r="286" spans="1:15" ht="16" thickBot="1" x14ac:dyDescent="0.4">
      <c r="A286" s="314"/>
      <c r="B286" s="121" t="s">
        <v>26</v>
      </c>
      <c r="C286" s="128">
        <v>6.4699999999999994E-2</v>
      </c>
      <c r="D286" s="117">
        <v>6.6299999999999998E-2</v>
      </c>
      <c r="E286" s="117">
        <v>6.88E-2</v>
      </c>
      <c r="F286" s="117">
        <v>6.8599999999999994E-2</v>
      </c>
      <c r="G286" s="128">
        <v>6.6000000000000003E-2</v>
      </c>
      <c r="H286" s="121">
        <v>6.4000000000000001E-2</v>
      </c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293"/>
      <c r="B287" s="123" t="s">
        <v>27</v>
      </c>
      <c r="C287" s="131">
        <v>87.9</v>
      </c>
      <c r="D287" s="125">
        <v>88.5</v>
      </c>
      <c r="E287" s="125">
        <v>89.5</v>
      </c>
      <c r="F287" s="125">
        <v>89.4</v>
      </c>
      <c r="G287" s="131">
        <v>88.4</v>
      </c>
      <c r="H287" s="131">
        <v>87.6</v>
      </c>
      <c r="I287" s="42"/>
      <c r="J287" s="43"/>
      <c r="K287" s="42"/>
      <c r="L287" s="42"/>
      <c r="M287" s="42"/>
      <c r="N287" s="42"/>
      <c r="O287" s="42"/>
    </row>
    <row r="288" spans="1:15" ht="16" thickBot="1" x14ac:dyDescent="0.4">
      <c r="A288" s="292">
        <v>15</v>
      </c>
      <c r="B288" s="121" t="s">
        <v>38</v>
      </c>
      <c r="C288" s="318"/>
      <c r="D288" s="319"/>
      <c r="E288" s="319"/>
      <c r="F288" s="319"/>
      <c r="G288" s="319"/>
      <c r="H288" s="320"/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314"/>
      <c r="B289" s="123" t="s">
        <v>31</v>
      </c>
      <c r="C289" s="126">
        <v>52.33</v>
      </c>
      <c r="D289" s="125">
        <v>53.5</v>
      </c>
      <c r="E289" s="125">
        <v>55.33</v>
      </c>
      <c r="F289" s="125">
        <v>55.17</v>
      </c>
      <c r="G289" s="131">
        <v>53.14</v>
      </c>
      <c r="H289" s="131">
        <v>50.25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314"/>
      <c r="B290" s="121" t="s">
        <v>27</v>
      </c>
      <c r="C290" s="118">
        <v>87.9</v>
      </c>
      <c r="D290" s="117">
        <v>88.5</v>
      </c>
      <c r="E290" s="117">
        <v>89.5</v>
      </c>
      <c r="F290" s="117">
        <v>89.4</v>
      </c>
      <c r="G290" s="118">
        <v>88.5</v>
      </c>
      <c r="H290" s="118">
        <v>87.6</v>
      </c>
      <c r="I290" s="42"/>
      <c r="J290" s="43"/>
      <c r="L290" s="42"/>
      <c r="M290" s="42"/>
      <c r="N290" s="42"/>
      <c r="O290" s="42"/>
    </row>
    <row r="291" spans="1:15" ht="47.5" thickTop="1" thickBot="1" x14ac:dyDescent="0.4">
      <c r="A291" s="293"/>
      <c r="B291" s="123" t="s">
        <v>122</v>
      </c>
      <c r="C291" s="126" t="s">
        <v>217</v>
      </c>
      <c r="D291" s="125" t="s">
        <v>218</v>
      </c>
      <c r="E291" s="125" t="s">
        <v>123</v>
      </c>
      <c r="F291" s="125" t="s">
        <v>219</v>
      </c>
      <c r="G291" s="131" t="s">
        <v>41</v>
      </c>
      <c r="H291" s="131" t="s">
        <v>220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292">
        <v>16</v>
      </c>
      <c r="B292" s="121" t="s">
        <v>53</v>
      </c>
      <c r="C292" s="318"/>
      <c r="D292" s="319"/>
      <c r="E292" s="319"/>
      <c r="F292" s="319"/>
      <c r="G292" s="319"/>
      <c r="H292" s="320"/>
      <c r="I292" s="42"/>
      <c r="J292" s="43"/>
      <c r="K292" s="42"/>
      <c r="L292" s="42"/>
      <c r="M292" s="42"/>
      <c r="N292" s="42"/>
      <c r="O292" s="42"/>
    </row>
    <row r="293" spans="1:15" ht="16.5" thickTop="1" thickBot="1" x14ac:dyDescent="0.4">
      <c r="A293" s="314"/>
      <c r="B293" s="123" t="s">
        <v>31</v>
      </c>
      <c r="C293" s="131">
        <v>52.3</v>
      </c>
      <c r="D293" s="125">
        <v>53.5</v>
      </c>
      <c r="E293" s="125">
        <v>55.33</v>
      </c>
      <c r="F293" s="125">
        <v>55.17</v>
      </c>
      <c r="G293" s="131">
        <v>53.14</v>
      </c>
      <c r="H293" s="131">
        <v>50.25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314"/>
      <c r="B294" s="123" t="s">
        <v>26</v>
      </c>
      <c r="C294" s="126">
        <v>4.7999999999999996E-3</v>
      </c>
      <c r="D294" s="125">
        <v>5.7000000000000002E-3</v>
      </c>
      <c r="E294" s="125">
        <v>6.6E-3</v>
      </c>
      <c r="F294" s="125">
        <v>7.3000000000000001E-3</v>
      </c>
      <c r="G294" s="126">
        <v>9.1999999999999998E-3</v>
      </c>
      <c r="H294" s="123">
        <v>1.47E-2</v>
      </c>
      <c r="I294" s="42"/>
      <c r="J294" s="43"/>
      <c r="K294" s="42"/>
      <c r="L294" s="42"/>
      <c r="M294" s="42"/>
      <c r="N294" s="42"/>
      <c r="O294" s="42"/>
    </row>
    <row r="295" spans="1:15" ht="47" thickBot="1" x14ac:dyDescent="0.4">
      <c r="A295" s="294"/>
      <c r="B295" s="121" t="s">
        <v>122</v>
      </c>
      <c r="C295" s="128" t="s">
        <v>221</v>
      </c>
      <c r="D295" s="117" t="s">
        <v>222</v>
      </c>
      <c r="E295" s="117" t="s">
        <v>192</v>
      </c>
      <c r="F295" s="117" t="s">
        <v>223</v>
      </c>
      <c r="G295" s="118" t="s">
        <v>224</v>
      </c>
      <c r="H295" s="118" t="s">
        <v>225</v>
      </c>
      <c r="I295" s="42"/>
      <c r="J295" s="43"/>
      <c r="K295" s="42"/>
      <c r="L295" s="42"/>
      <c r="M295" s="42"/>
      <c r="N295" s="42"/>
      <c r="O295" s="42"/>
    </row>
    <row r="296" spans="1:15" ht="16" thickTop="1" thickBot="1" x14ac:dyDescent="0.4">
      <c r="A296" s="302" t="s">
        <v>63</v>
      </c>
      <c r="B296" s="303"/>
      <c r="C296" s="303"/>
      <c r="D296" s="303"/>
      <c r="E296" s="303"/>
      <c r="F296" s="303"/>
      <c r="G296" s="303"/>
      <c r="H296" s="304"/>
      <c r="I296" s="42"/>
      <c r="J296" s="43"/>
      <c r="K296" s="42"/>
      <c r="L296" s="42"/>
      <c r="M296" s="42"/>
      <c r="N296" s="42"/>
      <c r="O296" s="42"/>
    </row>
    <row r="297" spans="1:15" ht="16.5" thickTop="1" thickBot="1" x14ac:dyDescent="0.4">
      <c r="A297" s="134">
        <v>17</v>
      </c>
      <c r="B297" s="121" t="s">
        <v>26</v>
      </c>
      <c r="C297" s="128">
        <v>4.7999999999999996E-3</v>
      </c>
      <c r="D297" s="117">
        <v>5.7000000000000002E-3</v>
      </c>
      <c r="E297" s="117">
        <v>6.6E-3</v>
      </c>
      <c r="F297" s="117">
        <v>7.3000000000000001E-3</v>
      </c>
      <c r="G297" s="128">
        <v>9.1999999999999998E-3</v>
      </c>
      <c r="H297" s="121">
        <v>1.47E-2</v>
      </c>
      <c r="I297" s="42"/>
      <c r="J297" s="43"/>
      <c r="K297" s="42"/>
      <c r="L297" s="42"/>
      <c r="M297" s="42"/>
      <c r="N297" s="42"/>
      <c r="O297" s="42"/>
    </row>
    <row r="298" spans="1:15" ht="32" thickTop="1" thickBot="1" x14ac:dyDescent="0.4">
      <c r="A298" s="135">
        <v>18</v>
      </c>
      <c r="B298" s="123" t="s">
        <v>64</v>
      </c>
      <c r="C298" s="131">
        <v>32</v>
      </c>
      <c r="D298" s="125">
        <v>35.4</v>
      </c>
      <c r="E298" s="125">
        <v>37.9</v>
      </c>
      <c r="F298" s="125">
        <v>39.9</v>
      </c>
      <c r="G298" s="131">
        <v>44.3</v>
      </c>
      <c r="H298" s="131">
        <v>53.55</v>
      </c>
      <c r="I298" s="42"/>
      <c r="J298" s="43"/>
      <c r="K298" s="42"/>
      <c r="L298" s="42"/>
      <c r="M298" s="42"/>
      <c r="N298" s="42"/>
      <c r="O298" s="42"/>
    </row>
    <row r="299" spans="1:15" ht="31.5" thickBot="1" x14ac:dyDescent="0.4">
      <c r="A299" s="134">
        <v>19</v>
      </c>
      <c r="B299" s="121" t="s">
        <v>65</v>
      </c>
      <c r="C299" s="128">
        <v>3611</v>
      </c>
      <c r="D299" s="117">
        <v>3611</v>
      </c>
      <c r="E299" s="117">
        <v>3611</v>
      </c>
      <c r="F299" s="117">
        <v>3611</v>
      </c>
      <c r="G299" s="118">
        <v>3611</v>
      </c>
      <c r="H299" s="118">
        <v>3611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20</v>
      </c>
      <c r="B300" s="123" t="s">
        <v>127</v>
      </c>
      <c r="C300" s="131">
        <v>13</v>
      </c>
      <c r="D300" s="125">
        <v>16</v>
      </c>
      <c r="E300" s="125">
        <v>18</v>
      </c>
      <c r="F300" s="125">
        <v>20</v>
      </c>
      <c r="G300" s="136">
        <v>25</v>
      </c>
      <c r="H300" s="136">
        <v>35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207">
        <v>21</v>
      </c>
      <c r="B301" s="121" t="s">
        <v>128</v>
      </c>
      <c r="C301" s="118">
        <v>20.7</v>
      </c>
      <c r="D301" s="117">
        <v>23.9</v>
      </c>
      <c r="E301" s="117">
        <v>26.2</v>
      </c>
      <c r="F301" s="117">
        <v>28.1</v>
      </c>
      <c r="G301" s="118">
        <v>32.799999999999997</v>
      </c>
      <c r="H301" s="118">
        <v>42.5</v>
      </c>
      <c r="I301" s="42"/>
      <c r="J301" s="43"/>
      <c r="K301" s="42"/>
      <c r="L301" s="42"/>
      <c r="M301" s="42"/>
      <c r="N301" s="42"/>
      <c r="O301" s="42"/>
    </row>
    <row r="302" spans="1:15" ht="31.5" thickTop="1" x14ac:dyDescent="0.35">
      <c r="A302" s="207">
        <v>22</v>
      </c>
      <c r="B302" s="59" t="s">
        <v>129</v>
      </c>
      <c r="C302" s="99"/>
      <c r="D302" s="139"/>
      <c r="E302" s="139"/>
      <c r="F302" s="99"/>
      <c r="G302" s="139"/>
      <c r="H302" s="139"/>
      <c r="I302" s="42"/>
      <c r="J302" s="43"/>
      <c r="K302" s="42"/>
      <c r="L302" s="42"/>
      <c r="M302" s="42"/>
      <c r="N302" s="42"/>
      <c r="O302" s="42"/>
    </row>
    <row r="303" spans="1:15" ht="16" thickBot="1" x14ac:dyDescent="0.4">
      <c r="A303" s="208"/>
      <c r="B303" s="123" t="s">
        <v>130</v>
      </c>
      <c r="C303" s="131">
        <v>34.700000000000003</v>
      </c>
      <c r="D303" s="125">
        <v>38.1</v>
      </c>
      <c r="E303" s="125">
        <v>40.700000000000003</v>
      </c>
      <c r="F303" s="125">
        <v>42.6</v>
      </c>
      <c r="G303" s="131">
        <v>47</v>
      </c>
      <c r="H303" s="131">
        <v>56.3</v>
      </c>
      <c r="I303" s="42"/>
      <c r="J303" s="43"/>
      <c r="K303" s="42"/>
      <c r="L303" s="42"/>
      <c r="M303" s="42"/>
      <c r="N303" s="42"/>
      <c r="O303" s="42"/>
    </row>
    <row r="304" spans="1:15" ht="31.5" thickBot="1" x14ac:dyDescent="0.4">
      <c r="A304" s="134">
        <v>23</v>
      </c>
      <c r="B304" s="121" t="s">
        <v>131</v>
      </c>
      <c r="C304" s="117" t="s">
        <v>182</v>
      </c>
      <c r="D304" s="117" t="s">
        <v>182</v>
      </c>
      <c r="E304" s="117" t="s">
        <v>182</v>
      </c>
      <c r="F304" s="117" t="s">
        <v>182</v>
      </c>
      <c r="G304" s="117" t="s">
        <v>182</v>
      </c>
      <c r="H304" s="117" t="s">
        <v>182</v>
      </c>
      <c r="I304" s="42"/>
      <c r="J304" s="43"/>
      <c r="K304" s="42"/>
      <c r="L304" s="42"/>
      <c r="M304" s="42"/>
      <c r="N304" s="42"/>
      <c r="O304" s="42"/>
    </row>
    <row r="305" spans="1:15" ht="31.5" thickTop="1" x14ac:dyDescent="0.35">
      <c r="A305" s="289">
        <v>24</v>
      </c>
      <c r="B305" s="59" t="s">
        <v>132</v>
      </c>
      <c r="C305" s="99"/>
      <c r="D305" s="139"/>
      <c r="E305" s="139"/>
      <c r="F305" s="139"/>
      <c r="G305" s="99"/>
      <c r="H305" s="99"/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288"/>
      <c r="B306" s="121" t="s">
        <v>72</v>
      </c>
      <c r="C306" s="118">
        <v>34.700000000000003</v>
      </c>
      <c r="D306" s="117">
        <v>38.1</v>
      </c>
      <c r="E306" s="117">
        <v>40.700000000000003</v>
      </c>
      <c r="F306" s="117">
        <v>54.8</v>
      </c>
      <c r="G306" s="118">
        <v>47</v>
      </c>
      <c r="H306" s="118">
        <v>56.3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89">
        <v>25</v>
      </c>
      <c r="B307" s="59" t="s">
        <v>133</v>
      </c>
      <c r="C307" s="99"/>
      <c r="D307" s="139"/>
      <c r="E307" s="139"/>
      <c r="F307" s="99"/>
      <c r="G307" s="139"/>
      <c r="H307" s="139"/>
      <c r="I307" s="42"/>
      <c r="J307" s="43"/>
      <c r="K307" s="42"/>
      <c r="L307" s="42"/>
      <c r="M307" s="42"/>
      <c r="N307" s="42"/>
      <c r="O307" s="42"/>
    </row>
    <row r="308" spans="1:15" ht="16" thickBot="1" x14ac:dyDescent="0.4">
      <c r="A308" s="288"/>
      <c r="B308" s="121" t="s">
        <v>76</v>
      </c>
      <c r="C308" s="128">
        <v>52.85</v>
      </c>
      <c r="D308" s="117">
        <v>54.02</v>
      </c>
      <c r="E308" s="117">
        <v>55.86</v>
      </c>
      <c r="F308" s="117">
        <v>55.68</v>
      </c>
      <c r="G308" s="118">
        <v>53.64</v>
      </c>
      <c r="H308" s="118">
        <v>50.76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289">
        <v>26</v>
      </c>
      <c r="B309" s="59" t="s">
        <v>75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288"/>
      <c r="B310" s="121" t="s">
        <v>76</v>
      </c>
      <c r="C310" s="128">
        <v>63.78</v>
      </c>
      <c r="D310" s="117">
        <v>61.98</v>
      </c>
      <c r="E310" s="117">
        <v>61.82</v>
      </c>
      <c r="F310" s="117">
        <v>59.94</v>
      </c>
      <c r="G310" s="118">
        <v>54.51</v>
      </c>
      <c r="H310" s="118">
        <v>67.7</v>
      </c>
      <c r="I310" s="42"/>
      <c r="J310" s="43"/>
      <c r="K310" s="42"/>
      <c r="L310" s="42"/>
      <c r="M310" s="42"/>
      <c r="N310" s="42"/>
      <c r="O310" s="42"/>
    </row>
    <row r="311" spans="1:15" ht="29" thickTop="1" thickBot="1" x14ac:dyDescent="0.4">
      <c r="A311" s="134">
        <v>27</v>
      </c>
      <c r="B311" s="75" t="s">
        <v>161</v>
      </c>
      <c r="C311" s="128">
        <v>14.37</v>
      </c>
      <c r="D311" s="117">
        <v>12.29</v>
      </c>
      <c r="E311" s="117">
        <v>10.94</v>
      </c>
      <c r="F311" s="117">
        <v>9.66</v>
      </c>
      <c r="G311" s="118">
        <v>6.83</v>
      </c>
      <c r="H311" s="118">
        <v>16.940000000000001</v>
      </c>
      <c r="I311" s="42"/>
      <c r="J311" s="43"/>
      <c r="K311" s="42"/>
      <c r="L311" s="42"/>
      <c r="M311" s="42"/>
      <c r="N311" s="42"/>
      <c r="O311" s="42"/>
    </row>
    <row r="312" spans="1:15" ht="32" thickTop="1" thickBot="1" x14ac:dyDescent="0.4">
      <c r="A312" s="135">
        <v>28</v>
      </c>
      <c r="B312" s="123" t="s">
        <v>211</v>
      </c>
      <c r="C312" s="131">
        <v>3.44</v>
      </c>
      <c r="D312" s="125">
        <v>4.32</v>
      </c>
      <c r="E312" s="125">
        <v>4.97</v>
      </c>
      <c r="F312" s="125">
        <v>5.4</v>
      </c>
      <c r="G312" s="131">
        <v>5.96</v>
      </c>
      <c r="H312" s="125">
        <v>0</v>
      </c>
      <c r="I312" s="42"/>
      <c r="J312" s="43"/>
      <c r="K312" s="42"/>
      <c r="L312" s="42"/>
      <c r="M312" s="42"/>
      <c r="N312" s="42"/>
      <c r="O312" s="42"/>
    </row>
    <row r="313" spans="1:15" ht="31" x14ac:dyDescent="0.35">
      <c r="A313" s="287">
        <v>29</v>
      </c>
      <c r="B313" s="59" t="s">
        <v>136</v>
      </c>
      <c r="C313" s="139"/>
      <c r="D313" s="139"/>
      <c r="E313" s="139"/>
      <c r="F313" s="139"/>
      <c r="G313" s="139"/>
      <c r="H313" s="139"/>
      <c r="I313" s="42"/>
      <c r="J313" s="43"/>
      <c r="K313" s="42"/>
      <c r="L313" s="42"/>
      <c r="M313" s="42"/>
      <c r="N313" s="42"/>
      <c r="O313" s="42"/>
    </row>
    <row r="314" spans="1:15" ht="31.5" thickBot="1" x14ac:dyDescent="0.4">
      <c r="A314" s="290"/>
      <c r="B314" s="123" t="s">
        <v>137</v>
      </c>
      <c r="C314" s="131">
        <v>60</v>
      </c>
      <c r="D314" s="125">
        <v>60</v>
      </c>
      <c r="E314" s="125">
        <v>60</v>
      </c>
      <c r="F314" s="125">
        <v>60</v>
      </c>
      <c r="G314" s="126">
        <v>60</v>
      </c>
      <c r="H314" s="209">
        <v>60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287">
        <v>30</v>
      </c>
      <c r="B315" s="59" t="s">
        <v>129</v>
      </c>
      <c r="C315" s="403">
        <v>138.9</v>
      </c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290"/>
      <c r="B316" s="123" t="s">
        <v>212</v>
      </c>
      <c r="C316" s="404"/>
      <c r="D316" s="125">
        <v>139.1</v>
      </c>
      <c r="E316" s="125">
        <v>139.4</v>
      </c>
      <c r="F316" s="125">
        <v>139.30000000000001</v>
      </c>
      <c r="G316" s="131">
        <v>138.6</v>
      </c>
      <c r="H316" s="131">
        <v>137.69999999999999</v>
      </c>
      <c r="I316" s="42"/>
      <c r="J316" s="43"/>
      <c r="K316" s="42"/>
      <c r="L316" s="42"/>
      <c r="M316" s="42"/>
      <c r="N316" s="42"/>
      <c r="O316" s="42"/>
    </row>
    <row r="317" spans="1:15" ht="31.5" thickBot="1" x14ac:dyDescent="0.4">
      <c r="A317" s="134">
        <v>31</v>
      </c>
      <c r="B317" s="121" t="s">
        <v>139</v>
      </c>
      <c r="C317" s="128">
        <v>166</v>
      </c>
      <c r="D317" s="117">
        <v>166</v>
      </c>
      <c r="E317" s="117">
        <v>166.1</v>
      </c>
      <c r="F317" s="117">
        <v>166.1</v>
      </c>
      <c r="G317" s="118">
        <v>166</v>
      </c>
      <c r="H317" s="118">
        <v>166</v>
      </c>
      <c r="I317" s="42"/>
      <c r="J317" s="43"/>
      <c r="K317" s="42"/>
      <c r="L317" s="42"/>
      <c r="M317" s="42"/>
      <c r="N317" s="42"/>
      <c r="O317" s="42"/>
    </row>
    <row r="318" spans="1:15" ht="32" thickTop="1" thickBot="1" x14ac:dyDescent="0.4">
      <c r="A318" s="135">
        <v>32</v>
      </c>
      <c r="B318" s="123" t="s">
        <v>83</v>
      </c>
      <c r="C318" s="126">
        <v>272</v>
      </c>
      <c r="D318" s="125">
        <v>272.3</v>
      </c>
      <c r="E318" s="125">
        <v>275.5</v>
      </c>
      <c r="F318" s="125">
        <v>275.3</v>
      </c>
      <c r="G318" s="131">
        <v>272.7</v>
      </c>
      <c r="H318" s="131">
        <v>270.10000000000002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33</v>
      </c>
      <c r="B319" s="121" t="s">
        <v>84</v>
      </c>
      <c r="C319" s="128">
        <v>5.6740000000000004</v>
      </c>
      <c r="D319" s="117">
        <v>5.8230000000000004</v>
      </c>
      <c r="E319" s="117">
        <v>6.0490000000000004</v>
      </c>
      <c r="F319" s="117">
        <v>6.05</v>
      </c>
      <c r="G319" s="118">
        <v>5.9020000000000001</v>
      </c>
      <c r="H319" s="118">
        <v>5.7169999999999996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34</v>
      </c>
      <c r="B320" s="123" t="s">
        <v>85</v>
      </c>
      <c r="C320" s="126">
        <v>0.46300000000000002</v>
      </c>
      <c r="D320" s="125">
        <v>0.46400000000000002</v>
      </c>
      <c r="E320" s="125">
        <v>0.46800000000000003</v>
      </c>
      <c r="F320" s="125">
        <v>0.46700000000000003</v>
      </c>
      <c r="G320" s="131">
        <v>0.45800000000000002</v>
      </c>
      <c r="H320" s="131">
        <v>0.44700000000000001</v>
      </c>
      <c r="I320" s="42"/>
      <c r="J320" s="43"/>
      <c r="K320" s="42"/>
      <c r="L320" s="42"/>
      <c r="M320" s="42"/>
      <c r="N320" s="42"/>
      <c r="O320" s="42"/>
    </row>
    <row r="321" spans="1:15" x14ac:dyDescent="0.35">
      <c r="A321" s="42"/>
      <c r="B321" s="42"/>
      <c r="C321" s="42"/>
      <c r="D321" s="42"/>
      <c r="E321" s="42"/>
      <c r="F321" s="42"/>
      <c r="G321" s="42"/>
      <c r="H321" s="42"/>
      <c r="I321" s="42"/>
      <c r="J321" s="43"/>
      <c r="K321" s="42"/>
      <c r="L321" s="42"/>
      <c r="M321" s="42"/>
      <c r="N321" s="42"/>
      <c r="O321" s="42"/>
    </row>
    <row r="322" spans="1:15" ht="16" thickBot="1" x14ac:dyDescent="0.4">
      <c r="A322" s="129" t="s">
        <v>216</v>
      </c>
      <c r="B322" s="42"/>
      <c r="C322" s="42"/>
      <c r="D322" s="42"/>
      <c r="E322" s="42"/>
      <c r="F322" s="42"/>
      <c r="G322" s="42"/>
      <c r="H322" s="42"/>
      <c r="I322" s="42"/>
      <c r="J322" s="43"/>
      <c r="K322" s="42"/>
      <c r="L322" s="42"/>
      <c r="M322" s="42"/>
      <c r="N322" s="42"/>
      <c r="O322" s="42"/>
    </row>
    <row r="323" spans="1:15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  <c r="I323" s="42"/>
      <c r="J323" s="43"/>
      <c r="K323" s="42"/>
      <c r="L323" s="42"/>
      <c r="M323" s="42"/>
      <c r="N323" s="42"/>
      <c r="O323" s="42"/>
    </row>
    <row r="324" spans="1:15" ht="16.5" thickTop="1" thickBot="1" x14ac:dyDescent="0.4">
      <c r="A324" s="134">
        <v>35</v>
      </c>
      <c r="B324" s="121" t="s">
        <v>87</v>
      </c>
      <c r="C324" s="117">
        <v>84.5</v>
      </c>
      <c r="D324" s="117">
        <v>84.5</v>
      </c>
      <c r="E324" s="117">
        <v>84.5</v>
      </c>
      <c r="F324" s="117">
        <v>82.6</v>
      </c>
      <c r="G324" s="117">
        <v>74.7</v>
      </c>
      <c r="H324" s="117">
        <v>64.5</v>
      </c>
      <c r="I324" s="42"/>
      <c r="J324" s="43"/>
      <c r="K324" s="42"/>
      <c r="L324" s="42"/>
      <c r="M324" s="42"/>
      <c r="N324" s="42"/>
      <c r="O324" s="42"/>
    </row>
    <row r="325" spans="1:15" ht="16.5" thickTop="1" thickBot="1" x14ac:dyDescent="0.4">
      <c r="A325" s="135">
        <v>36</v>
      </c>
      <c r="B325" s="123" t="s">
        <v>88</v>
      </c>
      <c r="C325" s="125">
        <v>49.91</v>
      </c>
      <c r="D325" s="125">
        <v>50.47</v>
      </c>
      <c r="E325" s="125">
        <v>51.95</v>
      </c>
      <c r="F325" s="125">
        <v>51.46</v>
      </c>
      <c r="G325" s="125">
        <v>49.45</v>
      </c>
      <c r="H325" s="125">
        <v>45.19</v>
      </c>
      <c r="I325" s="42"/>
      <c r="J325" s="43"/>
      <c r="K325" s="42"/>
      <c r="L325" s="42"/>
      <c r="M325" s="42"/>
      <c r="N325" s="42"/>
      <c r="O325" s="42"/>
    </row>
    <row r="326" spans="1:15" ht="31.5" thickBot="1" x14ac:dyDescent="0.4">
      <c r="A326" s="134">
        <v>37</v>
      </c>
      <c r="B326" s="121" t="s">
        <v>89</v>
      </c>
      <c r="C326" s="117">
        <v>134.4</v>
      </c>
      <c r="D326" s="117">
        <v>135</v>
      </c>
      <c r="E326" s="117">
        <v>136.5</v>
      </c>
      <c r="F326" s="117">
        <v>134.1</v>
      </c>
      <c r="G326" s="117">
        <v>124.2</v>
      </c>
      <c r="H326" s="117">
        <v>109.69</v>
      </c>
      <c r="I326" s="42"/>
      <c r="J326" s="43"/>
      <c r="K326" s="42"/>
      <c r="L326" s="42"/>
      <c r="M326" s="42"/>
      <c r="N326" s="42"/>
      <c r="O326" s="42"/>
    </row>
    <row r="327" spans="1:15" ht="32" thickTop="1" thickBot="1" x14ac:dyDescent="0.4">
      <c r="A327" s="295">
        <v>38</v>
      </c>
      <c r="B327" s="121" t="s">
        <v>140</v>
      </c>
      <c r="C327" s="117">
        <v>0</v>
      </c>
      <c r="D327" s="117">
        <v>0</v>
      </c>
      <c r="E327" s="117">
        <v>0</v>
      </c>
      <c r="F327" s="117">
        <v>0</v>
      </c>
      <c r="G327" s="117">
        <v>0</v>
      </c>
      <c r="H327" s="117">
        <v>0</v>
      </c>
      <c r="I327" s="42"/>
      <c r="J327" s="43"/>
      <c r="K327" s="42"/>
      <c r="L327" s="42"/>
      <c r="M327" s="42"/>
      <c r="N327" s="42"/>
      <c r="O327" s="42"/>
    </row>
    <row r="328" spans="1:15" ht="16.5" thickTop="1" thickBot="1" x14ac:dyDescent="0.4">
      <c r="A328" s="294"/>
      <c r="B328" s="128" t="s">
        <v>91</v>
      </c>
      <c r="C328" s="117">
        <v>0</v>
      </c>
      <c r="D328" s="117">
        <v>0</v>
      </c>
      <c r="E328" s="117">
        <v>0</v>
      </c>
      <c r="F328" s="117">
        <v>0</v>
      </c>
      <c r="G328" s="117">
        <v>0</v>
      </c>
      <c r="H328" s="117">
        <v>0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295">
        <v>39</v>
      </c>
      <c r="B329" s="123" t="s">
        <v>141</v>
      </c>
      <c r="C329" s="125">
        <v>0</v>
      </c>
      <c r="D329" s="125">
        <v>0</v>
      </c>
      <c r="E329" s="125">
        <v>0</v>
      </c>
      <c r="F329" s="125">
        <v>0</v>
      </c>
      <c r="G329" s="125">
        <v>0</v>
      </c>
      <c r="H329" s="125">
        <v>0</v>
      </c>
      <c r="I329" s="42"/>
      <c r="J329" s="43"/>
      <c r="K329" s="42"/>
      <c r="L329" s="42"/>
      <c r="M329" s="42"/>
      <c r="N329" s="42"/>
      <c r="O329" s="42"/>
    </row>
    <row r="330" spans="1:15" ht="16" thickBot="1" x14ac:dyDescent="0.4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295">
        <v>40</v>
      </c>
      <c r="B331" s="121" t="s">
        <v>142</v>
      </c>
      <c r="C331" s="117">
        <v>0</v>
      </c>
      <c r="D331" s="117">
        <v>0</v>
      </c>
      <c r="E331" s="117">
        <v>0</v>
      </c>
      <c r="F331" s="117">
        <v>0</v>
      </c>
      <c r="G331" s="117">
        <v>0</v>
      </c>
      <c r="H331" s="117">
        <v>0</v>
      </c>
      <c r="I331" s="42"/>
      <c r="J331" s="43"/>
      <c r="K331" s="42"/>
      <c r="L331" s="42"/>
      <c r="M331" s="42"/>
      <c r="N331" s="42"/>
      <c r="O331" s="42"/>
    </row>
    <row r="332" spans="1:15" ht="16.5" thickTop="1" thickBot="1" x14ac:dyDescent="0.4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295">
        <v>41</v>
      </c>
      <c r="B333" s="123" t="s">
        <v>143</v>
      </c>
      <c r="C333" s="125">
        <v>0</v>
      </c>
      <c r="D333" s="125">
        <v>0</v>
      </c>
      <c r="E333" s="125">
        <v>0</v>
      </c>
      <c r="F333" s="125">
        <v>0</v>
      </c>
      <c r="G333" s="125">
        <v>0</v>
      </c>
      <c r="H333" s="125">
        <v>0</v>
      </c>
      <c r="I333" s="42"/>
      <c r="J333" s="43"/>
      <c r="K333" s="42"/>
      <c r="L333" s="42"/>
      <c r="M333" s="42"/>
      <c r="N333" s="42"/>
      <c r="O333" s="42"/>
    </row>
    <row r="334" spans="1:15" ht="16" thickBot="1" x14ac:dyDescent="0.4">
      <c r="A334" s="293"/>
      <c r="B334" s="126" t="s">
        <v>91</v>
      </c>
      <c r="C334" s="125">
        <v>0</v>
      </c>
      <c r="D334" s="125">
        <v>0</v>
      </c>
      <c r="E334" s="125">
        <v>0</v>
      </c>
      <c r="F334" s="125">
        <v>0</v>
      </c>
      <c r="G334" s="125">
        <v>0</v>
      </c>
      <c r="H334" s="125">
        <v>0</v>
      </c>
      <c r="I334" s="42"/>
      <c r="J334" s="43"/>
      <c r="K334" s="42"/>
      <c r="L334" s="42"/>
      <c r="M334" s="42"/>
      <c r="N334" s="42"/>
      <c r="O334" s="42"/>
    </row>
    <row r="335" spans="1:15" ht="16.5" x14ac:dyDescent="0.35">
      <c r="A335" s="161"/>
      <c r="B335" s="139"/>
      <c r="C335" s="139"/>
      <c r="D335" s="139"/>
      <c r="E335" s="139"/>
      <c r="F335" s="139"/>
      <c r="G335" s="139"/>
      <c r="H335" s="139"/>
      <c r="I335" s="42"/>
      <c r="J335" s="43"/>
      <c r="K335" s="42"/>
      <c r="L335" s="42"/>
      <c r="M335" s="42"/>
      <c r="N335" s="42"/>
      <c r="O335" s="42"/>
    </row>
    <row r="336" spans="1:15" ht="31.5" thickBot="1" x14ac:dyDescent="0.4">
      <c r="A336" s="207">
        <v>42</v>
      </c>
      <c r="B336" s="121" t="s">
        <v>144</v>
      </c>
      <c r="C336" s="117">
        <v>0</v>
      </c>
      <c r="D336" s="117">
        <v>0</v>
      </c>
      <c r="E336" s="117">
        <v>0</v>
      </c>
      <c r="F336" s="117">
        <v>0</v>
      </c>
      <c r="G336" s="117">
        <v>0</v>
      </c>
      <c r="H336" s="117">
        <v>0</v>
      </c>
      <c r="I336" s="42"/>
      <c r="J336" s="43"/>
      <c r="K336" s="42"/>
      <c r="L336" s="42"/>
      <c r="M336" s="42"/>
      <c r="N336" s="42"/>
      <c r="O336" s="42"/>
    </row>
    <row r="337" spans="1:15" ht="16.5" thickTop="1" thickBot="1" x14ac:dyDescent="0.4">
      <c r="A337" s="208"/>
      <c r="B337" s="126" t="s">
        <v>90</v>
      </c>
      <c r="C337" s="125">
        <v>0</v>
      </c>
      <c r="D337" s="125">
        <v>0</v>
      </c>
      <c r="E337" s="125">
        <v>0</v>
      </c>
      <c r="F337" s="125">
        <v>0</v>
      </c>
      <c r="G337" s="125">
        <v>0</v>
      </c>
      <c r="H337" s="125">
        <v>0</v>
      </c>
      <c r="I337" s="42"/>
      <c r="J337" s="43"/>
      <c r="K337" s="42"/>
      <c r="L337" s="42"/>
      <c r="M337" s="42"/>
      <c r="N337" s="42"/>
      <c r="O337" s="42"/>
    </row>
    <row r="338" spans="1:15" ht="16" thickBot="1" x14ac:dyDescent="0.4">
      <c r="A338" s="135">
        <v>43</v>
      </c>
      <c r="B338" s="123" t="s">
        <v>146</v>
      </c>
      <c r="C338" s="125">
        <v>37.32</v>
      </c>
      <c r="D338" s="125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  <c r="I338" s="42"/>
      <c r="J338" s="43"/>
      <c r="K338" s="42"/>
      <c r="L338" s="42"/>
      <c r="M338" s="42"/>
      <c r="N338" s="42"/>
      <c r="O338" s="42"/>
    </row>
    <row r="339" spans="1:15" ht="31" x14ac:dyDescent="0.35">
      <c r="A339" s="287">
        <v>44</v>
      </c>
      <c r="B339" s="59" t="s">
        <v>226</v>
      </c>
      <c r="C339" s="139"/>
      <c r="D339" s="139"/>
      <c r="E339" s="139"/>
      <c r="F339" s="139"/>
      <c r="G339" s="139"/>
      <c r="H339" s="139"/>
      <c r="I339" s="42"/>
      <c r="J339" s="43"/>
      <c r="K339" s="42"/>
      <c r="L339" s="42"/>
      <c r="M339" s="42"/>
      <c r="N339" s="42"/>
      <c r="O339" s="42"/>
    </row>
    <row r="340" spans="1:15" ht="31.5" thickBot="1" x14ac:dyDescent="0.4">
      <c r="A340" s="288"/>
      <c r="B340" s="121" t="s">
        <v>227</v>
      </c>
      <c r="C340" s="117">
        <v>150</v>
      </c>
      <c r="D340" s="117">
        <v>150</v>
      </c>
      <c r="E340" s="117">
        <v>150</v>
      </c>
      <c r="F340" s="117">
        <v>150</v>
      </c>
      <c r="G340" s="117">
        <v>150</v>
      </c>
      <c r="H340" s="117">
        <v>150</v>
      </c>
      <c r="I340" s="42"/>
      <c r="J340" s="43"/>
      <c r="K340" s="42"/>
      <c r="L340" s="42"/>
      <c r="M340" s="42"/>
      <c r="N340" s="42"/>
      <c r="O340" s="42"/>
    </row>
    <row r="341" spans="1:15" ht="31.5" thickTop="1" x14ac:dyDescent="0.35">
      <c r="A341" s="289">
        <v>45</v>
      </c>
      <c r="B341" s="59" t="s">
        <v>147</v>
      </c>
      <c r="C341" s="119"/>
      <c r="D341" s="119"/>
      <c r="E341" s="119"/>
      <c r="F341" s="119"/>
      <c r="G341" s="119"/>
      <c r="H341" s="119"/>
      <c r="I341" s="42"/>
      <c r="J341" s="43"/>
      <c r="K341" s="42"/>
      <c r="L341" s="42"/>
      <c r="M341" s="42"/>
      <c r="N341" s="42"/>
      <c r="O341" s="42"/>
    </row>
    <row r="342" spans="1:15" ht="16" thickBot="1" x14ac:dyDescent="0.4">
      <c r="A342" s="290"/>
      <c r="B342" s="123" t="s">
        <v>97</v>
      </c>
      <c r="C342" s="125">
        <v>0</v>
      </c>
      <c r="D342" s="125">
        <v>0</v>
      </c>
      <c r="E342" s="125">
        <v>0</v>
      </c>
      <c r="F342" s="125">
        <v>0</v>
      </c>
      <c r="G342" s="125">
        <v>0</v>
      </c>
      <c r="H342" s="125">
        <v>0</v>
      </c>
      <c r="I342" s="42"/>
      <c r="J342" s="43"/>
      <c r="K342" s="42"/>
      <c r="L342" s="42"/>
      <c r="M342" s="42"/>
      <c r="N342" s="42"/>
      <c r="O342" s="42"/>
    </row>
    <row r="343" spans="1:15" ht="31" x14ac:dyDescent="0.35">
      <c r="A343" s="287">
        <v>46</v>
      </c>
      <c r="B343" s="59" t="s">
        <v>147</v>
      </c>
      <c r="C343" s="139"/>
      <c r="D343" s="139"/>
      <c r="E343" s="139"/>
      <c r="F343" s="139"/>
      <c r="G343" s="139"/>
      <c r="H343" s="13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288"/>
      <c r="B344" s="121" t="s">
        <v>98</v>
      </c>
      <c r="C344" s="117">
        <v>37.32</v>
      </c>
      <c r="D344" s="117">
        <v>37.32</v>
      </c>
      <c r="E344" s="117">
        <v>37.380000000000003</v>
      </c>
      <c r="F344" s="117">
        <v>36.72</v>
      </c>
      <c r="G344" s="117">
        <v>33.94</v>
      </c>
      <c r="H344" s="117">
        <v>30.57</v>
      </c>
      <c r="I344" s="42"/>
      <c r="J344" s="43"/>
      <c r="K344" s="42"/>
      <c r="L344" s="42"/>
      <c r="M344" s="42"/>
      <c r="N344" s="42"/>
      <c r="O344" s="42"/>
    </row>
    <row r="345" spans="1:15" ht="31.5" thickTop="1" x14ac:dyDescent="0.35">
      <c r="A345" s="289">
        <v>47</v>
      </c>
      <c r="B345" s="59" t="s">
        <v>228</v>
      </c>
      <c r="C345" s="9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290"/>
      <c r="B346" s="123" t="s">
        <v>229</v>
      </c>
      <c r="C346" s="125">
        <v>277.7</v>
      </c>
      <c r="D346" s="125">
        <v>276.39999999999998</v>
      </c>
      <c r="E346" s="125">
        <v>273.89999999999998</v>
      </c>
      <c r="F346" s="125">
        <v>273.89999999999998</v>
      </c>
      <c r="G346" s="125">
        <v>273.3</v>
      </c>
      <c r="H346" s="125">
        <v>278.7</v>
      </c>
      <c r="I346" s="42"/>
      <c r="J346" s="43"/>
      <c r="K346" s="42"/>
      <c r="L346" s="42"/>
      <c r="M346" s="42"/>
      <c r="N346" s="42"/>
      <c r="O346" s="42"/>
    </row>
    <row r="347" spans="1:15" ht="31.5" thickBot="1" x14ac:dyDescent="0.4">
      <c r="A347" s="134">
        <v>48</v>
      </c>
      <c r="B347" s="121" t="s">
        <v>149</v>
      </c>
      <c r="C347" s="117">
        <v>44.24</v>
      </c>
      <c r="D347" s="117">
        <v>44.44</v>
      </c>
      <c r="E347" s="117">
        <v>44.85</v>
      </c>
      <c r="F347" s="117">
        <v>44.85</v>
      </c>
      <c r="G347" s="117">
        <v>44.95</v>
      </c>
      <c r="H347" s="117">
        <v>44.08</v>
      </c>
      <c r="I347" s="42"/>
      <c r="J347" s="43"/>
      <c r="K347" s="42"/>
      <c r="L347" s="42"/>
      <c r="M347" s="42"/>
      <c r="N347" s="42"/>
      <c r="O347" s="42"/>
    </row>
    <row r="348" spans="1:15" ht="15" thickTop="1" x14ac:dyDescent="0.35">
      <c r="A348" s="42"/>
      <c r="B348" s="42"/>
      <c r="C348" s="42"/>
      <c r="D348" s="42"/>
      <c r="E348" s="42"/>
      <c r="F348" s="42"/>
      <c r="G348" s="42"/>
      <c r="H348" s="42"/>
      <c r="I348" s="42"/>
      <c r="J348" s="43"/>
      <c r="K348" s="42"/>
      <c r="L348" s="42"/>
      <c r="M348" s="42"/>
      <c r="N348" s="42"/>
      <c r="O348" s="42"/>
    </row>
    <row r="349" spans="1:15" x14ac:dyDescent="0.35">
      <c r="A349" s="42"/>
      <c r="B349" s="42"/>
      <c r="C349" s="42"/>
      <c r="D349" s="42"/>
      <c r="E349" s="42"/>
      <c r="F349" s="42"/>
      <c r="G349" s="42"/>
      <c r="H349" s="42"/>
      <c r="I349" s="42"/>
      <c r="J349" s="43"/>
      <c r="K349" s="42"/>
      <c r="L349" s="42"/>
      <c r="M349" s="42"/>
      <c r="N349" s="42"/>
      <c r="O349" s="42"/>
    </row>
    <row r="350" spans="1:15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4:A167"/>
    <mergeCell ref="C164:H164"/>
    <mergeCell ref="A168:A171"/>
    <mergeCell ref="C168:H168"/>
    <mergeCell ref="A172:A175"/>
    <mergeCell ref="C172:H172"/>
    <mergeCell ref="A151:H151"/>
    <mergeCell ref="A152:A155"/>
    <mergeCell ref="C152:H152"/>
    <mergeCell ref="A156:A159"/>
    <mergeCell ref="C156:H156"/>
    <mergeCell ref="A160:A163"/>
    <mergeCell ref="C160:H160"/>
    <mergeCell ref="A193:A194"/>
    <mergeCell ref="A195:A196"/>
    <mergeCell ref="A198:A199"/>
    <mergeCell ref="A200:A201"/>
    <mergeCell ref="C200:C201"/>
    <mergeCell ref="A208:H208"/>
    <mergeCell ref="A176:A179"/>
    <mergeCell ref="C176:H176"/>
    <mergeCell ref="A180:H180"/>
    <mergeCell ref="A186:A187"/>
    <mergeCell ref="A189:A190"/>
    <mergeCell ref="A191:A192"/>
    <mergeCell ref="A226:A227"/>
    <mergeCell ref="A228:A229"/>
    <mergeCell ref="A230:A232"/>
    <mergeCell ref="A239:A241"/>
    <mergeCell ref="B239:B241"/>
    <mergeCell ref="C239:H239"/>
    <mergeCell ref="C241:G241"/>
    <mergeCell ref="A212:A213"/>
    <mergeCell ref="A214:A215"/>
    <mergeCell ref="A216:A217"/>
    <mergeCell ref="A218:A219"/>
    <mergeCell ref="A220:A221"/>
    <mergeCell ref="A224:A225"/>
    <mergeCell ref="C242:H242"/>
    <mergeCell ref="A243:H243"/>
    <mergeCell ref="C244:H244"/>
    <mergeCell ref="A247:A248"/>
    <mergeCell ref="C247:C248"/>
    <mergeCell ref="D247:D248"/>
    <mergeCell ref="E247:E248"/>
    <mergeCell ref="F247:F248"/>
    <mergeCell ref="G247:G248"/>
    <mergeCell ref="H247:H248"/>
    <mergeCell ref="A267:H267"/>
    <mergeCell ref="A268:A271"/>
    <mergeCell ref="C268:H268"/>
    <mergeCell ref="A272:A275"/>
    <mergeCell ref="C272:H272"/>
    <mergeCell ref="A276:A279"/>
    <mergeCell ref="C276:H276"/>
    <mergeCell ref="A251:H251"/>
    <mergeCell ref="A252:A258"/>
    <mergeCell ref="C252:H252"/>
    <mergeCell ref="A259:A262"/>
    <mergeCell ref="C259:H259"/>
    <mergeCell ref="A263:A266"/>
    <mergeCell ref="C263:H263"/>
    <mergeCell ref="A292:A295"/>
    <mergeCell ref="C292:H292"/>
    <mergeCell ref="A296:H296"/>
    <mergeCell ref="A305:A306"/>
    <mergeCell ref="A307:A308"/>
    <mergeCell ref="A309:A310"/>
    <mergeCell ref="A280:A283"/>
    <mergeCell ref="C280:H280"/>
    <mergeCell ref="A284:A287"/>
    <mergeCell ref="C284:H284"/>
    <mergeCell ref="A288:A291"/>
    <mergeCell ref="C288:H288"/>
    <mergeCell ref="A331:A332"/>
    <mergeCell ref="A333:A334"/>
    <mergeCell ref="A339:A340"/>
    <mergeCell ref="A341:A342"/>
    <mergeCell ref="A343:A344"/>
    <mergeCell ref="A345:A346"/>
    <mergeCell ref="A313:A314"/>
    <mergeCell ref="A315:A316"/>
    <mergeCell ref="C315:C316"/>
    <mergeCell ref="A323:H323"/>
    <mergeCell ref="A327:A328"/>
    <mergeCell ref="A329:A330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2022-08-26T15:27:39Z</dcterms:modified>
</cp:coreProperties>
</file>